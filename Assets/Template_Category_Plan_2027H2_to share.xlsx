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.villalon\proyecto_dashboard\Assets\"/>
    </mc:Choice>
  </mc:AlternateContent>
  <xr:revisionPtr revIDLastSave="0" documentId="13_ncr:1_{35006BC2-45ED-4344-B57A-41B7AE0C9B0B}" xr6:coauthVersionLast="47" xr6:coauthVersionMax="47" xr10:uidLastSave="{00000000-0000-0000-0000-000000000000}"/>
  <bookViews>
    <workbookView xWindow="-28920" yWindow="-1245" windowWidth="29040" windowHeight="15720" tabRatio="500" xr2:uid="{00000000-000D-0000-FFFF-FFFF00000000}"/>
  </bookViews>
  <sheets>
    <sheet name="Cat.Plan Template H1'27" sheetId="2" r:id="rId1"/>
  </sheets>
  <definedNames>
    <definedName name="_xlnm._FilterDatabase" localSheetId="0" hidden="1">'Cat.Plan Template H1''27'!$B$7:$CO$204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2" l="1"/>
  <c r="K8" i="2"/>
</calcChain>
</file>

<file path=xl/sharedStrings.xml><?xml version="1.0" encoding="utf-8"?>
<sst xmlns="http://schemas.openxmlformats.org/spreadsheetml/2006/main" count="512" uniqueCount="171">
  <si>
    <t>FORMULA</t>
  </si>
  <si>
    <t>INPUT</t>
  </si>
  <si>
    <t>TOTAL</t>
  </si>
  <si>
    <t>Volume Contribution</t>
  </si>
  <si>
    <t>Turnover Value (/1,000) USD</t>
  </si>
  <si>
    <t>T/O Contribution</t>
  </si>
  <si>
    <t>INTAKE %</t>
  </si>
  <si>
    <t>% MKD</t>
  </si>
  <si>
    <t>% MRG</t>
  </si>
  <si>
    <t>SALES MARGIN</t>
  </si>
  <si>
    <t>STOCK</t>
  </si>
  <si>
    <t>OTB COST (/1,000) USD</t>
  </si>
  <si>
    <t>BU</t>
  </si>
  <si>
    <t>GENDER</t>
  </si>
  <si>
    <t>OCCASION</t>
  </si>
  <si>
    <t>CATEGORY</t>
  </si>
  <si>
    <t>Frc 26</t>
  </si>
  <si>
    <t>Plan 27</t>
  </si>
  <si>
    <t>% Frc 26 vs. 25</t>
  </si>
  <si>
    <t>% Plan 27 vs. Frc 26</t>
  </si>
  <si>
    <t>TO NEW COLLECTION</t>
  </si>
  <si>
    <t>SHARE %</t>
  </si>
  <si>
    <t>SHOES</t>
  </si>
  <si>
    <t>WOMEN</t>
  </si>
  <si>
    <t>FORMAL</t>
  </si>
  <si>
    <t>BALLERINA</t>
  </si>
  <si>
    <t>LOAFERS</t>
  </si>
  <si>
    <t>HEELS/WEDGES</t>
  </si>
  <si>
    <t>SANDALS</t>
  </si>
  <si>
    <t>BOOTS</t>
  </si>
  <si>
    <t>TOTAL WOMEN FORMAL</t>
  </si>
  <si>
    <t>CASUAL</t>
  </si>
  <si>
    <t>LACE-UP</t>
  </si>
  <si>
    <t>TOTAL WOMEN CASUAL</t>
  </si>
  <si>
    <t>TOTAL WOMEN SHOES</t>
  </si>
  <si>
    <t>MEN</t>
  </si>
  <si>
    <t>TOTAL MEN FORMAL</t>
  </si>
  <si>
    <t>TOTAL MEN CASUAL</t>
  </si>
  <si>
    <t>TOTAL MEN SHOES</t>
  </si>
  <si>
    <t>TODLER BOY 18-25</t>
  </si>
  <si>
    <t>TOTAL TODDLER BOY</t>
  </si>
  <si>
    <t>TODLER GIRL 18-25</t>
  </si>
  <si>
    <t>TOTAL TODDLER GIRL</t>
  </si>
  <si>
    <t>TOTAL TODDLER</t>
  </si>
  <si>
    <t>BOY 25-38</t>
  </si>
  <si>
    <t>TOTAL BOY</t>
  </si>
  <si>
    <t>GIRL 25-38</t>
  </si>
  <si>
    <t>TOTAL  GIRL</t>
  </si>
  <si>
    <t>TOTAL KIDS</t>
  </si>
  <si>
    <t>TOTAL SHOES</t>
  </si>
  <si>
    <t>SNEAKERS</t>
  </si>
  <si>
    <t>ACTIVE</t>
  </si>
  <si>
    <t>RUNNING</t>
  </si>
  <si>
    <t>TRAIL RUNNING</t>
  </si>
  <si>
    <t>SPORT SPECIFIC</t>
  </si>
  <si>
    <t>WALKING</t>
  </si>
  <si>
    <t>TRAINING</t>
  </si>
  <si>
    <t>TOTAL WOMEN ACTIVE</t>
  </si>
  <si>
    <t>LIFESTYLE</t>
  </si>
  <si>
    <t>COURT</t>
  </si>
  <si>
    <t>SKATE</t>
  </si>
  <si>
    <t>RETRO RUNNING</t>
  </si>
  <si>
    <t>FLAT</t>
  </si>
  <si>
    <t>CHUNKY</t>
  </si>
  <si>
    <t>TOTAL WOMEN LIFESTYLE</t>
  </si>
  <si>
    <t>TOTAL WOMEN SNEARKER</t>
  </si>
  <si>
    <t>TOTAL MEN ACTIVE</t>
  </si>
  <si>
    <t>TOTAL MEN LIFESTYLE</t>
  </si>
  <si>
    <t>TOTAL MEN SNEAKER</t>
  </si>
  <si>
    <t>TOTAL BOY ACTIVE</t>
  </si>
  <si>
    <t>TOTAL BOY LIFESTYLE</t>
  </si>
  <si>
    <t>TOTAL GIRL ACTIVE</t>
  </si>
  <si>
    <t>TOTAL GIRL LIFESTYLE</t>
  </si>
  <si>
    <t>TOTAL GIRL</t>
  </si>
  <si>
    <t>TOTAL SNEAKER</t>
  </si>
  <si>
    <t>TOT FOOTWEAR</t>
  </si>
  <si>
    <t>ACCESSORIES</t>
  </si>
  <si>
    <t>WOMEN BAGS</t>
  </si>
  <si>
    <t>TOTAL ACCESORIES WOMEN FORMAL</t>
  </si>
  <si>
    <t>TOTAL ACCESORIES WOMEN CASUAL</t>
  </si>
  <si>
    <t>MEN BAGS</t>
  </si>
  <si>
    <t>TOTAL ACCESORIES MEN</t>
  </si>
  <si>
    <t>KIDS BAGS</t>
  </si>
  <si>
    <t>TOTAL ACCESORIES KIDS</t>
  </si>
  <si>
    <t>SMALL LEATHER GOODS</t>
  </si>
  <si>
    <t>ALL</t>
  </si>
  <si>
    <t>WALLET</t>
  </si>
  <si>
    <t>CASE</t>
  </si>
  <si>
    <t>BELT</t>
  </si>
  <si>
    <t>TOTAL ACCESSORIES SMALL LEATHER GOODS</t>
  </si>
  <si>
    <t>SHOE CARE</t>
  </si>
  <si>
    <t>CLEANING/PROTECTION</t>
  </si>
  <si>
    <t>INSOLES</t>
  </si>
  <si>
    <t>LACES</t>
  </si>
  <si>
    <t>TOTAL ACCESORIES SHOE CARE</t>
  </si>
  <si>
    <t>OTHER ACCESSORIES</t>
  </si>
  <si>
    <t>BIJOUX</t>
  </si>
  <si>
    <t>KEY CHAINS/CHARMS</t>
  </si>
  <si>
    <t>SUNGLASS</t>
  </si>
  <si>
    <t>FOULARD/SCARF</t>
  </si>
  <si>
    <t>GLOVES</t>
  </si>
  <si>
    <t>HAT</t>
  </si>
  <si>
    <t>SOCKS</t>
  </si>
  <si>
    <t>UMBRELLA</t>
  </si>
  <si>
    <t>OTHER</t>
  </si>
  <si>
    <t>TOTAL ACCESSORIES OTHER ACCESORIES</t>
  </si>
  <si>
    <t>TOTAL ACCESSORIES</t>
  </si>
  <si>
    <t>APPAREL</t>
  </si>
  <si>
    <t>TOP</t>
  </si>
  <si>
    <t>BOTTOM</t>
  </si>
  <si>
    <t>JACKET</t>
  </si>
  <si>
    <t>SET</t>
  </si>
  <si>
    <t>TOTAL APPAREL WOMEN CASUAL</t>
  </si>
  <si>
    <t>OUTDOOR</t>
  </si>
  <si>
    <t>TOTAL APPAREL WOMEN OUTDOOR</t>
  </si>
  <si>
    <t>TOTAL APPAREL MEN CASUAL</t>
  </si>
  <si>
    <t>TOTAL APPAREL MEN OUTDOOR</t>
  </si>
  <si>
    <t>GIRLS</t>
  </si>
  <si>
    <t>TOTAL APPAREL GIRLS CASUAL</t>
  </si>
  <si>
    <t>TOTAL APPAREL GIRLS OUTDOOR</t>
  </si>
  <si>
    <t>BOYS</t>
  </si>
  <si>
    <t>TOTAL APPAREL BOYS CASUAL</t>
  </si>
  <si>
    <t>TOTAL APPAREL BOYS OUTDOOR</t>
  </si>
  <si>
    <t>TOTAL APPAREL</t>
  </si>
  <si>
    <t>TO GROSS MKD (w/o VAT)</t>
  </si>
  <si>
    <t>RRP (w/o VAT)</t>
  </si>
  <si>
    <t>RRP (VAT incl.)</t>
  </si>
  <si>
    <t>VAT -&gt;</t>
  </si>
  <si>
    <t>ASP (Vat excl.)</t>
  </si>
  <si>
    <t>MKD VALUE</t>
  </si>
  <si>
    <t>COGS</t>
  </si>
  <si>
    <t>PAIRS (/1.000)</t>
  </si>
  <si>
    <t>TO FILL</t>
  </si>
  <si>
    <t>OTB &amp; SOR</t>
  </si>
  <si>
    <t>SOR FINAL 
2026 H2</t>
  </si>
  <si>
    <t>TOT NO FOOTWEAR</t>
  </si>
  <si>
    <t>STOCK TURN</t>
  </si>
  <si>
    <t>INDUSTRIAL</t>
  </si>
  <si>
    <t>SHOULDER BAG</t>
  </si>
  <si>
    <t>TOP HANDLE BAG</t>
  </si>
  <si>
    <t>CROSSBODY BAG</t>
  </si>
  <si>
    <t>CLUTCH/POUCHETTE</t>
  </si>
  <si>
    <t>TOTES</t>
  </si>
  <si>
    <t>BACKPACK</t>
  </si>
  <si>
    <t>POUCH</t>
  </si>
  <si>
    <t>2027 H2 MERCH PLAN</t>
  </si>
  <si>
    <t>MONEY</t>
  </si>
  <si>
    <t>UNITS</t>
  </si>
  <si>
    <t>COLUMNA CP</t>
  </si>
  <si>
    <t>Act 
H2'25</t>
  </si>
  <si>
    <t>Frc 
H2'26</t>
  </si>
  <si>
    <t>Plan 
H2'27</t>
  </si>
  <si>
    <t>Initial Stock Qty 2025 H2</t>
  </si>
  <si>
    <t>Final Stock Qty 
2025 H2</t>
  </si>
  <si>
    <t>% Final Stock 
vs Initial 25H2</t>
  </si>
  <si>
    <t>Initial Stock Qty 
2026 H2</t>
  </si>
  <si>
    <t>Final Stock Qty 
2026 H2</t>
  </si>
  <si>
    <t>% Final Stock 
vs Initial 26H2</t>
  </si>
  <si>
    <t>Initial Stock Qty 
2027 H2</t>
  </si>
  <si>
    <t>Final Stock Qty 
2027 H2</t>
  </si>
  <si>
    <t>% Final Stock 
vs Initial 27H2</t>
  </si>
  <si>
    <t>OTB QTY 
2026 H2</t>
  </si>
  <si>
    <t>OTB COST 
2026 H2</t>
  </si>
  <si>
    <t>OTB QTY
 2027 H2</t>
  </si>
  <si>
    <t>OTB COST 
2027 H2</t>
  </si>
  <si>
    <t>SOR TARGET 2027H2</t>
  </si>
  <si>
    <t xml:space="preserve">QUIE LO TRANSFORME A </t>
  </si>
  <si>
    <t>FORMA ACTUAL</t>
  </si>
  <si>
    <t>LLAVE A CREAR ABAJO</t>
  </si>
  <si>
    <t>SHOESWOMENCASUALHEELS/WEDGES</t>
  </si>
  <si>
    <t>B18&amp;C18&amp;D18&amp;E18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</si>
</sst>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164" formatCode="_-* #,##0.00_-;\-* #,##0.00_-;_-* \-??_-;_-@_-"/>
    <numFmt numFmtId="165" formatCode="_(* #,##0_);_(* \(#,##0\);_(* \-_);_(@_)"/>
    <numFmt numFmtId="166" formatCode="_-* #,##0.00\ [$€]_-;\-* #,##0.00\ [$€]_-;_-* \-??\ [$€]_-;_-@_-"/>
    <numFmt numFmtId="167" formatCode="_-* #,##0_-;\-* #,##0_-;_-* \-??_-;_-@_-"/>
    <numFmt numFmtId="168" formatCode="0.0%"/>
    <numFmt numFmtId="169" formatCode="_ * #,##0_ ;_ * \-#,##0_ ;_ * \-_ ;_ @_ "/>
    <numFmt numFmtId="170" formatCode="_-* #,##0.0_-;\-* #,##0.0_-;_-* \-?_-;_-@_-"/>
    <numFmt numFmtId="171" formatCode="_ * #,##0.00_ ;_ * \-#,##0.00_ ;_ * &quot;-&quot;_ ;_ @_ "/>
    <numFmt numFmtId="172" formatCode="_-* #,##0.0_-;\-* #,##0.0_-;_-* \-??_-;_-@_-"/>
    <numFmt numFmtId="173" formatCode="_ * #,##0.0_ ;_ * \-#,##0.0_ ;_ * \-_ ;_ @_ 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0" tint="-4.9989318521683403E-2"/>
        <bgColor rgb="FFE8E8E8"/>
      </patternFill>
    </fill>
    <fill>
      <patternFill patternType="solid">
        <fgColor theme="1"/>
        <bgColor rgb="FF00330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/>
        <bgColor rgb="FFDDEBF7"/>
      </patternFill>
    </fill>
    <fill>
      <patternFill patternType="solid">
        <fgColor theme="0" tint="-0.499984740745262"/>
        <bgColor rgb="FF666699"/>
      </patternFill>
    </fill>
    <fill>
      <patternFill patternType="solid">
        <fgColor theme="3" tint="0.89989928891872917"/>
        <bgColor rgb="FFDDEB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8E8E8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rgb="FFDDEB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E8E8E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 tint="-0.249977111117893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/>
      <top/>
      <bottom style="thin">
        <color auto="1"/>
      </bottom>
      <diagonal/>
    </border>
    <border>
      <left style="thin">
        <color theme="0" tint="-0.249977111117893"/>
      </left>
      <right/>
      <top style="thin">
        <color auto="1"/>
      </top>
      <bottom style="thin">
        <color indexed="64"/>
      </bottom>
      <diagonal/>
    </border>
  </borders>
  <cellStyleXfs count="38">
    <xf numFmtId="0" fontId="0" fillId="0" borderId="0"/>
    <xf numFmtId="164" fontId="4" fillId="0" borderId="0"/>
    <xf numFmtId="9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4" fillId="0" borderId="0"/>
    <xf numFmtId="164" fontId="4" fillId="0" borderId="0"/>
    <xf numFmtId="164" fontId="4" fillId="0" borderId="0"/>
    <xf numFmtId="165" fontId="3" fillId="0" borderId="0"/>
    <xf numFmtId="165" fontId="3" fillId="0" borderId="0"/>
    <xf numFmtId="165" fontId="4" fillId="0" borderId="0"/>
    <xf numFmtId="0" fontId="3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3" fillId="0" borderId="0"/>
    <xf numFmtId="0" fontId="3" fillId="0" borderId="0"/>
    <xf numFmtId="9" fontId="3" fillId="0" borderId="0"/>
    <xf numFmtId="9" fontId="3" fillId="0" borderId="0"/>
    <xf numFmtId="9" fontId="4" fillId="0" borderId="0"/>
    <xf numFmtId="165" fontId="4" fillId="0" borderId="0"/>
    <xf numFmtId="41" fontId="4" fillId="0" borderId="0" applyFont="0" applyFill="0" applyBorder="0" applyAlignment="0" applyProtection="0"/>
  </cellStyleXfs>
  <cellXfs count="558">
    <xf numFmtId="0" fontId="0" fillId="0" borderId="0" xfId="0"/>
    <xf numFmtId="9" fontId="4" fillId="0" borderId="0" xfId="2"/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7" fontId="6" fillId="6" borderId="1" xfId="1" applyNumberFormat="1" applyFont="1" applyFill="1" applyBorder="1" applyAlignment="1">
      <alignment horizontal="center" vertical="center"/>
    </xf>
    <xf numFmtId="167" fontId="6" fillId="6" borderId="2" xfId="1" applyNumberFormat="1" applyFont="1" applyFill="1" applyBorder="1" applyAlignment="1">
      <alignment horizontal="center" vertical="center"/>
    </xf>
    <xf numFmtId="167" fontId="6" fillId="6" borderId="3" xfId="1" applyNumberFormat="1" applyFont="1" applyFill="1" applyBorder="1" applyAlignment="1">
      <alignment horizontal="center" vertical="center"/>
    </xf>
    <xf numFmtId="9" fontId="6" fillId="6" borderId="1" xfId="2" applyFont="1" applyFill="1" applyBorder="1" applyAlignment="1">
      <alignment horizontal="center" vertical="center"/>
    </xf>
    <xf numFmtId="9" fontId="6" fillId="6" borderId="3" xfId="2" applyFont="1" applyFill="1" applyBorder="1" applyAlignment="1">
      <alignment horizontal="center" vertical="center"/>
    </xf>
    <xf numFmtId="168" fontId="6" fillId="6" borderId="3" xfId="2" applyNumberFormat="1" applyFont="1" applyFill="1" applyBorder="1" applyAlignment="1">
      <alignment horizontal="center" vertical="center"/>
    </xf>
    <xf numFmtId="169" fontId="6" fillId="6" borderId="1" xfId="36" applyNumberFormat="1" applyFont="1" applyFill="1" applyBorder="1" applyAlignment="1">
      <alignment horizontal="center" vertical="center"/>
    </xf>
    <xf numFmtId="169" fontId="6" fillId="6" borderId="2" xfId="36" applyNumberFormat="1" applyFont="1" applyFill="1" applyBorder="1" applyAlignment="1">
      <alignment horizontal="center" vertical="center"/>
    </xf>
    <xf numFmtId="169" fontId="6" fillId="6" borderId="3" xfId="36" applyNumberFormat="1" applyFont="1" applyFill="1" applyBorder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9" fontId="6" fillId="6" borderId="2" xfId="2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7" fontId="6" fillId="6" borderId="2" xfId="36" applyNumberFormat="1" applyFont="1" applyFill="1" applyBorder="1" applyAlignment="1">
      <alignment horizontal="center" vertical="center"/>
    </xf>
    <xf numFmtId="167" fontId="6" fillId="6" borderId="3" xfId="36" applyNumberFormat="1" applyFont="1" applyFill="1" applyBorder="1" applyAlignment="1">
      <alignment horizontal="center" vertical="center"/>
    </xf>
    <xf numFmtId="9" fontId="6" fillId="6" borderId="4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7" fontId="6" fillId="4" borderId="6" xfId="1" applyNumberFormat="1" applyFont="1" applyFill="1" applyBorder="1" applyAlignment="1">
      <alignment horizontal="center" vertical="center"/>
    </xf>
    <xf numFmtId="9" fontId="6" fillId="4" borderId="5" xfId="2" applyFont="1" applyFill="1" applyBorder="1" applyAlignment="1">
      <alignment horizontal="center" vertical="center"/>
    </xf>
    <xf numFmtId="9" fontId="6" fillId="4" borderId="10" xfId="2" applyFont="1" applyFill="1" applyBorder="1" applyAlignment="1">
      <alignment horizontal="center" vertical="center"/>
    </xf>
    <xf numFmtId="9" fontId="6" fillId="4" borderId="7" xfId="2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6" fillId="4" borderId="7" xfId="1" applyNumberFormat="1" applyFont="1" applyFill="1" applyBorder="1" applyAlignment="1">
      <alignment horizontal="center" vertical="center"/>
    </xf>
    <xf numFmtId="167" fontId="6" fillId="0" borderId="6" xfId="1" applyNumberFormat="1" applyFont="1" applyBorder="1" applyAlignment="1">
      <alignment horizontal="center" vertical="center"/>
    </xf>
    <xf numFmtId="9" fontId="6" fillId="0" borderId="9" xfId="2" applyFont="1" applyBorder="1" applyAlignment="1">
      <alignment horizontal="center" vertical="center"/>
    </xf>
    <xf numFmtId="168" fontId="6" fillId="3" borderId="9" xfId="2" applyNumberFormat="1" applyFont="1" applyFill="1" applyBorder="1" applyAlignment="1">
      <alignment horizontal="center" vertical="center"/>
    </xf>
    <xf numFmtId="9" fontId="6" fillId="3" borderId="11" xfId="2" applyFont="1" applyFill="1" applyBorder="1" applyAlignment="1">
      <alignment horizontal="center" vertical="center"/>
    </xf>
    <xf numFmtId="9" fontId="6" fillId="3" borderId="7" xfId="2" applyFont="1" applyFill="1" applyBorder="1" applyAlignment="1">
      <alignment horizontal="center" vertical="center"/>
    </xf>
    <xf numFmtId="9" fontId="6" fillId="3" borderId="6" xfId="2" applyFont="1" applyFill="1" applyBorder="1" applyAlignment="1">
      <alignment horizontal="center" vertical="center"/>
    </xf>
    <xf numFmtId="9" fontId="6" fillId="3" borderId="10" xfId="2" applyFont="1" applyFill="1" applyBorder="1" applyAlignment="1">
      <alignment horizontal="center" vertical="center"/>
    </xf>
    <xf numFmtId="169" fontId="6" fillId="4" borderId="5" xfId="36" applyNumberFormat="1" applyFont="1" applyFill="1" applyBorder="1" applyAlignment="1">
      <alignment horizontal="center" vertical="center"/>
    </xf>
    <xf numFmtId="169" fontId="6" fillId="4" borderId="6" xfId="1" applyNumberFormat="1" applyFont="1" applyFill="1" applyBorder="1" applyAlignment="1">
      <alignment horizontal="center" vertical="center"/>
    </xf>
    <xf numFmtId="169" fontId="6" fillId="4" borderId="7" xfId="1" applyNumberFormat="1" applyFont="1" applyFill="1" applyBorder="1" applyAlignment="1">
      <alignment horizontal="center" vertical="center"/>
    </xf>
    <xf numFmtId="167" fontId="6" fillId="4" borderId="5" xfId="1" applyNumberFormat="1" applyFont="1" applyFill="1" applyBorder="1" applyAlignment="1">
      <alignment horizontal="center" vertical="center"/>
    </xf>
    <xf numFmtId="167" fontId="6" fillId="11" borderId="5" xfId="1" applyNumberFormat="1" applyFont="1" applyFill="1" applyBorder="1" applyAlignment="1">
      <alignment horizontal="center" vertical="center"/>
    </xf>
    <xf numFmtId="167" fontId="6" fillId="4" borderId="5" xfId="36" applyNumberFormat="1" applyFont="1" applyFill="1" applyBorder="1" applyAlignment="1">
      <alignment horizontal="center" vertical="center"/>
    </xf>
    <xf numFmtId="167" fontId="6" fillId="4" borderId="6" xfId="36" applyNumberFormat="1" applyFont="1" applyFill="1" applyBorder="1" applyAlignment="1">
      <alignment horizontal="center" vertical="center"/>
    </xf>
    <xf numFmtId="167" fontId="6" fillId="4" borderId="7" xfId="36" applyNumberFormat="1" applyFont="1" applyFill="1" applyBorder="1" applyAlignment="1">
      <alignment horizontal="center" vertical="center"/>
    </xf>
    <xf numFmtId="9" fontId="6" fillId="4" borderId="9" xfId="2" applyFont="1" applyFill="1" applyBorder="1" applyAlignment="1">
      <alignment horizontal="center" vertical="center"/>
    </xf>
    <xf numFmtId="167" fontId="6" fillId="4" borderId="9" xfId="1" applyNumberFormat="1" applyFont="1" applyFill="1" applyBorder="1" applyAlignment="1">
      <alignment horizontal="center" vertical="center"/>
    </xf>
    <xf numFmtId="9" fontId="6" fillId="11" borderId="12" xfId="2" applyFont="1" applyFill="1" applyBorder="1" applyAlignment="1">
      <alignment horizontal="center" vertical="center"/>
    </xf>
    <xf numFmtId="167" fontId="6" fillId="4" borderId="9" xfId="36" applyNumberFormat="1" applyFont="1" applyFill="1" applyBorder="1" applyAlignment="1">
      <alignment horizontal="center" vertical="center"/>
    </xf>
    <xf numFmtId="9" fontId="6" fillId="12" borderId="12" xfId="2" applyFont="1" applyFill="1" applyBorder="1" applyAlignment="1">
      <alignment horizontal="center" vertical="center"/>
    </xf>
    <xf numFmtId="172" fontId="6" fillId="4" borderId="6" xfId="36" applyNumberFormat="1" applyFont="1" applyFill="1" applyBorder="1" applyAlignment="1">
      <alignment horizontal="center" vertical="center"/>
    </xf>
    <xf numFmtId="171" fontId="6" fillId="4" borderId="7" xfId="37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7" fontId="6" fillId="4" borderId="0" xfId="1" applyNumberFormat="1" applyFont="1" applyFill="1" applyAlignment="1">
      <alignment horizontal="center" vertical="center"/>
    </xf>
    <xf numFmtId="167" fontId="6" fillId="4" borderId="10" xfId="1" applyNumberFormat="1" applyFont="1" applyFill="1" applyBorder="1" applyAlignment="1">
      <alignment horizontal="center" vertical="center"/>
    </xf>
    <xf numFmtId="9" fontId="6" fillId="4" borderId="8" xfId="2" applyFont="1" applyFill="1" applyBorder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9" fontId="6" fillId="0" borderId="12" xfId="2" applyFont="1" applyBorder="1" applyAlignment="1">
      <alignment horizontal="center" vertical="center"/>
    </xf>
    <xf numFmtId="168" fontId="6" fillId="3" borderId="12" xfId="2" applyNumberFormat="1" applyFont="1" applyFill="1" applyBorder="1" applyAlignment="1">
      <alignment horizontal="center" vertical="center"/>
    </xf>
    <xf numFmtId="9" fontId="6" fillId="3" borderId="13" xfId="2" applyFont="1" applyFill="1" applyBorder="1" applyAlignment="1">
      <alignment horizontal="center" vertical="center"/>
    </xf>
    <xf numFmtId="9" fontId="6" fillId="3" borderId="0" xfId="2" applyFont="1" applyFill="1" applyAlignment="1">
      <alignment horizontal="center" vertical="center"/>
    </xf>
    <xf numFmtId="167" fontId="6" fillId="4" borderId="0" xfId="36" applyNumberFormat="1" applyFont="1" applyFill="1" applyAlignment="1">
      <alignment horizontal="center" vertical="center"/>
    </xf>
    <xf numFmtId="169" fontId="6" fillId="4" borderId="8" xfId="36" applyNumberFormat="1" applyFont="1" applyFill="1" applyBorder="1" applyAlignment="1">
      <alignment horizontal="center" vertical="center"/>
    </xf>
    <xf numFmtId="169" fontId="6" fillId="4" borderId="0" xfId="36" applyNumberFormat="1" applyFont="1" applyFill="1" applyAlignment="1">
      <alignment horizontal="center" vertical="center"/>
    </xf>
    <xf numFmtId="169" fontId="6" fillId="4" borderId="10" xfId="36" applyNumberFormat="1" applyFont="1" applyFill="1" applyBorder="1" applyAlignment="1">
      <alignment horizontal="center" vertical="center"/>
    </xf>
    <xf numFmtId="167" fontId="6" fillId="4" borderId="8" xfId="1" applyNumberFormat="1" applyFont="1" applyFill="1" applyBorder="1" applyAlignment="1">
      <alignment horizontal="center" vertical="center"/>
    </xf>
    <xf numFmtId="167" fontId="6" fillId="11" borderId="8" xfId="1" applyNumberFormat="1" applyFont="1" applyFill="1" applyBorder="1" applyAlignment="1">
      <alignment horizontal="center" vertical="center"/>
    </xf>
    <xf numFmtId="167" fontId="6" fillId="4" borderId="8" xfId="36" applyNumberFormat="1" applyFont="1" applyFill="1" applyBorder="1" applyAlignment="1">
      <alignment horizontal="center" vertical="center"/>
    </xf>
    <xf numFmtId="167" fontId="6" fillId="4" borderId="10" xfId="36" applyNumberFormat="1" applyFont="1" applyFill="1" applyBorder="1" applyAlignment="1">
      <alignment horizontal="center" vertical="center"/>
    </xf>
    <xf numFmtId="9" fontId="6" fillId="4" borderId="12" xfId="2" applyFont="1" applyFill="1" applyBorder="1" applyAlignment="1">
      <alignment horizontal="center" vertical="center"/>
    </xf>
    <xf numFmtId="167" fontId="6" fillId="4" borderId="12" xfId="2" applyNumberFormat="1" applyFont="1" applyFill="1" applyBorder="1" applyAlignment="1">
      <alignment horizontal="center" vertical="center"/>
    </xf>
    <xf numFmtId="167" fontId="6" fillId="4" borderId="12" xfId="36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7" fontId="6" fillId="4" borderId="16" xfId="1" applyNumberFormat="1" applyFont="1" applyFill="1" applyBorder="1" applyAlignment="1">
      <alignment horizontal="center" vertical="center"/>
    </xf>
    <xf numFmtId="167" fontId="6" fillId="4" borderId="17" xfId="1" applyNumberFormat="1" applyFont="1" applyFill="1" applyBorder="1" applyAlignment="1">
      <alignment horizontal="center" vertical="center"/>
    </xf>
    <xf numFmtId="9" fontId="6" fillId="0" borderId="14" xfId="2" applyFont="1" applyBorder="1" applyAlignment="1">
      <alignment horizontal="center" vertical="center"/>
    </xf>
    <xf numFmtId="168" fontId="6" fillId="3" borderId="14" xfId="2" applyNumberFormat="1" applyFont="1" applyFill="1" applyBorder="1" applyAlignment="1">
      <alignment horizontal="center" vertical="center"/>
    </xf>
    <xf numFmtId="9" fontId="6" fillId="3" borderId="18" xfId="2" applyFont="1" applyFill="1" applyBorder="1" applyAlignment="1">
      <alignment horizontal="center" vertical="center"/>
    </xf>
    <xf numFmtId="9" fontId="6" fillId="3" borderId="17" xfId="2" applyFont="1" applyFill="1" applyBorder="1" applyAlignment="1">
      <alignment horizontal="center" vertical="center"/>
    </xf>
    <xf numFmtId="9" fontId="6" fillId="4" borderId="15" xfId="2" applyFont="1" applyFill="1" applyBorder="1" applyAlignment="1">
      <alignment horizontal="center" vertical="center"/>
    </xf>
    <xf numFmtId="9" fontId="6" fillId="4" borderId="17" xfId="2" applyFont="1" applyFill="1" applyBorder="1" applyAlignment="1">
      <alignment horizontal="center" vertical="center"/>
    </xf>
    <xf numFmtId="167" fontId="6" fillId="4" borderId="16" xfId="36" applyNumberFormat="1" applyFont="1" applyFill="1" applyBorder="1" applyAlignment="1">
      <alignment horizontal="center" vertical="center"/>
    </xf>
    <xf numFmtId="169" fontId="6" fillId="4" borderId="15" xfId="36" applyNumberFormat="1" applyFont="1" applyFill="1" applyBorder="1" applyAlignment="1">
      <alignment horizontal="center" vertical="center"/>
    </xf>
    <xf numFmtId="169" fontId="6" fillId="4" borderId="16" xfId="36" applyNumberFormat="1" applyFont="1" applyFill="1" applyBorder="1" applyAlignment="1">
      <alignment horizontal="center" vertical="center"/>
    </xf>
    <xf numFmtId="169" fontId="6" fillId="4" borderId="17" xfId="36" applyNumberFormat="1" applyFont="1" applyFill="1" applyBorder="1" applyAlignment="1">
      <alignment horizontal="center" vertical="center"/>
    </xf>
    <xf numFmtId="167" fontId="6" fillId="4" borderId="15" xfId="1" applyNumberFormat="1" applyFont="1" applyFill="1" applyBorder="1" applyAlignment="1">
      <alignment horizontal="center" vertical="center"/>
    </xf>
    <xf numFmtId="167" fontId="6" fillId="11" borderId="15" xfId="1" applyNumberFormat="1" applyFont="1" applyFill="1" applyBorder="1" applyAlignment="1">
      <alignment horizontal="center" vertical="center"/>
    </xf>
    <xf numFmtId="167" fontId="6" fillId="8" borderId="1" xfId="1" applyNumberFormat="1" applyFont="1" applyFill="1" applyBorder="1" applyAlignment="1">
      <alignment horizontal="center" vertical="center"/>
    </xf>
    <xf numFmtId="167" fontId="6" fillId="8" borderId="2" xfId="1" applyNumberFormat="1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9" fontId="6" fillId="8" borderId="1" xfId="2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9" fontId="6" fillId="8" borderId="2" xfId="2" applyFont="1" applyFill="1" applyBorder="1" applyAlignment="1">
      <alignment horizontal="center" vertical="center"/>
    </xf>
    <xf numFmtId="168" fontId="6" fillId="8" borderId="3" xfId="2" applyNumberFormat="1" applyFont="1" applyFill="1" applyBorder="1" applyAlignment="1">
      <alignment horizontal="center" vertical="center"/>
    </xf>
    <xf numFmtId="169" fontId="6" fillId="8" borderId="1" xfId="36" applyNumberFormat="1" applyFont="1" applyFill="1" applyBorder="1" applyAlignment="1">
      <alignment horizontal="center" vertical="center"/>
    </xf>
    <xf numFmtId="169" fontId="6" fillId="8" borderId="2" xfId="36" applyNumberFormat="1" applyFont="1" applyFill="1" applyBorder="1" applyAlignment="1">
      <alignment horizontal="center" vertical="center"/>
    </xf>
    <xf numFmtId="9" fontId="6" fillId="7" borderId="2" xfId="2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9" fontId="6" fillId="8" borderId="3" xfId="36" applyNumberFormat="1" applyFont="1" applyFill="1" applyBorder="1" applyAlignment="1">
      <alignment horizontal="center" vertical="center"/>
    </xf>
    <xf numFmtId="167" fontId="6" fillId="8" borderId="1" xfId="36" applyNumberFormat="1" applyFont="1" applyFill="1" applyBorder="1" applyAlignment="1">
      <alignment horizontal="center" vertical="center"/>
    </xf>
    <xf numFmtId="167" fontId="6" fillId="8" borderId="2" xfId="36" applyNumberFormat="1" applyFont="1" applyFill="1" applyBorder="1" applyAlignment="1">
      <alignment horizontal="center" vertical="center"/>
    </xf>
    <xf numFmtId="167" fontId="6" fillId="8" borderId="3" xfId="36" applyNumberFormat="1" applyFont="1" applyFill="1" applyBorder="1" applyAlignment="1">
      <alignment horizontal="center" vertical="center"/>
    </xf>
    <xf numFmtId="9" fontId="6" fillId="8" borderId="4" xfId="2" applyFont="1" applyFill="1" applyBorder="1" applyAlignment="1">
      <alignment horizontal="center" vertical="center"/>
    </xf>
    <xf numFmtId="41" fontId="6" fillId="8" borderId="4" xfId="37" applyFont="1" applyFill="1" applyBorder="1" applyAlignment="1">
      <alignment horizontal="center" vertical="center"/>
    </xf>
    <xf numFmtId="9" fontId="6" fillId="14" borderId="4" xfId="2" applyFont="1" applyFill="1" applyBorder="1" applyAlignment="1">
      <alignment horizontal="center" vertical="center"/>
    </xf>
    <xf numFmtId="167" fontId="6" fillId="0" borderId="7" xfId="1" applyNumberFormat="1" applyFont="1" applyBorder="1" applyAlignment="1">
      <alignment horizontal="center" vertical="center"/>
    </xf>
    <xf numFmtId="9" fontId="6" fillId="0" borderId="7" xfId="2" applyFont="1" applyBorder="1" applyAlignment="1">
      <alignment horizontal="center" vertical="center"/>
    </xf>
    <xf numFmtId="168" fontId="6" fillId="3" borderId="7" xfId="2" applyNumberFormat="1" applyFont="1" applyFill="1" applyBorder="1" applyAlignment="1">
      <alignment horizontal="center" vertical="center"/>
    </xf>
    <xf numFmtId="167" fontId="6" fillId="3" borderId="9" xfId="2" applyNumberFormat="1" applyFont="1" applyFill="1" applyBorder="1" applyAlignment="1">
      <alignment horizontal="center" vertical="center"/>
    </xf>
    <xf numFmtId="167" fontId="6" fillId="0" borderId="10" xfId="1" applyNumberFormat="1" applyFont="1" applyBorder="1" applyAlignment="1">
      <alignment horizontal="center" vertical="center"/>
    </xf>
    <xf numFmtId="9" fontId="6" fillId="0" borderId="10" xfId="2" applyFont="1" applyBorder="1" applyAlignment="1">
      <alignment horizontal="center" vertical="center"/>
    </xf>
    <xf numFmtId="168" fontId="6" fillId="3" borderId="10" xfId="2" applyNumberFormat="1" applyFont="1" applyFill="1" applyBorder="1" applyAlignment="1">
      <alignment horizontal="center" vertical="center"/>
    </xf>
    <xf numFmtId="167" fontId="6" fillId="3" borderId="12" xfId="2" applyNumberFormat="1" applyFont="1" applyFill="1" applyBorder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67" fontId="6" fillId="8" borderId="4" xfId="36" applyNumberFormat="1" applyFont="1" applyFill="1" applyBorder="1" applyAlignment="1">
      <alignment horizontal="center" vertical="center"/>
    </xf>
    <xf numFmtId="167" fontId="6" fillId="6" borderId="1" xfId="36" applyNumberFormat="1" applyFont="1" applyFill="1" applyBorder="1" applyAlignment="1">
      <alignment horizontal="center" vertical="center"/>
    </xf>
    <xf numFmtId="167" fontId="6" fillId="6" borderId="4" xfId="36" applyNumberFormat="1" applyFont="1" applyFill="1" applyBorder="1" applyAlignment="1">
      <alignment horizontal="center" vertical="center"/>
    </xf>
    <xf numFmtId="167" fontId="6" fillId="0" borderId="17" xfId="1" applyNumberFormat="1" applyFont="1" applyBorder="1" applyAlignment="1">
      <alignment horizontal="center" vertical="center"/>
    </xf>
    <xf numFmtId="9" fontId="6" fillId="0" borderId="17" xfId="2" applyFont="1" applyBorder="1" applyAlignment="1">
      <alignment horizontal="center" vertical="center"/>
    </xf>
    <xf numFmtId="9" fontId="6" fillId="3" borderId="16" xfId="2" applyFont="1" applyFill="1" applyBorder="1" applyAlignment="1">
      <alignment horizontal="center" vertical="center"/>
    </xf>
    <xf numFmtId="167" fontId="6" fillId="4" borderId="15" xfId="36" applyNumberFormat="1" applyFont="1" applyFill="1" applyBorder="1" applyAlignment="1">
      <alignment horizontal="center" vertical="center"/>
    </xf>
    <xf numFmtId="167" fontId="6" fillId="4" borderId="17" xfId="36" applyNumberFormat="1" applyFont="1" applyFill="1" applyBorder="1" applyAlignment="1">
      <alignment horizontal="center" vertical="center"/>
    </xf>
    <xf numFmtId="167" fontId="6" fillId="3" borderId="14" xfId="2" applyNumberFormat="1" applyFont="1" applyFill="1" applyBorder="1" applyAlignment="1">
      <alignment horizontal="center" vertical="center"/>
    </xf>
    <xf numFmtId="9" fontId="6" fillId="4" borderId="14" xfId="2" applyFont="1" applyFill="1" applyBorder="1" applyAlignment="1">
      <alignment horizontal="center" vertical="center"/>
    </xf>
    <xf numFmtId="167" fontId="6" fillId="4" borderId="14" xfId="36" applyNumberFormat="1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center" vertical="center"/>
    </xf>
    <xf numFmtId="9" fontId="6" fillId="6" borderId="14" xfId="2" applyFont="1" applyFill="1" applyBorder="1" applyAlignment="1">
      <alignment horizontal="center" vertical="center"/>
    </xf>
    <xf numFmtId="167" fontId="6" fillId="9" borderId="1" xfId="1" applyNumberFormat="1" applyFont="1" applyFill="1" applyBorder="1" applyAlignment="1">
      <alignment horizontal="center" vertical="center"/>
    </xf>
    <xf numFmtId="167" fontId="6" fillId="9" borderId="2" xfId="1" applyNumberFormat="1" applyFont="1" applyFill="1" applyBorder="1" applyAlignment="1">
      <alignment horizontal="center" vertical="center"/>
    </xf>
    <xf numFmtId="167" fontId="6" fillId="9" borderId="3" xfId="1" applyNumberFormat="1" applyFont="1" applyFill="1" applyBorder="1" applyAlignment="1">
      <alignment horizontal="center" vertical="center"/>
    </xf>
    <xf numFmtId="9" fontId="6" fillId="9" borderId="1" xfId="2" applyFont="1" applyFill="1" applyBorder="1" applyAlignment="1">
      <alignment horizontal="center" vertical="center"/>
    </xf>
    <xf numFmtId="9" fontId="6" fillId="9" borderId="3" xfId="2" applyFont="1" applyFill="1" applyBorder="1" applyAlignment="1">
      <alignment horizontal="center" vertical="center"/>
    </xf>
    <xf numFmtId="168" fontId="6" fillId="9" borderId="3" xfId="2" applyNumberFormat="1" applyFont="1" applyFill="1" applyBorder="1" applyAlignment="1">
      <alignment horizontal="center" vertical="center"/>
    </xf>
    <xf numFmtId="169" fontId="6" fillId="9" borderId="1" xfId="36" applyNumberFormat="1" applyFont="1" applyFill="1" applyBorder="1" applyAlignment="1">
      <alignment horizontal="center" vertical="center"/>
    </xf>
    <xf numFmtId="169" fontId="6" fillId="9" borderId="2" xfId="36" applyNumberFormat="1" applyFont="1" applyFill="1" applyBorder="1" applyAlignment="1">
      <alignment horizontal="center" vertical="center"/>
    </xf>
    <xf numFmtId="169" fontId="6" fillId="9" borderId="3" xfId="36" applyNumberFormat="1" applyFont="1" applyFill="1" applyBorder="1" applyAlignment="1">
      <alignment horizontal="center" vertical="center"/>
    </xf>
    <xf numFmtId="167" fontId="6" fillId="9" borderId="1" xfId="36" applyNumberFormat="1" applyFont="1" applyFill="1" applyBorder="1" applyAlignment="1">
      <alignment horizontal="center" vertical="center"/>
    </xf>
    <xf numFmtId="167" fontId="6" fillId="9" borderId="2" xfId="36" applyNumberFormat="1" applyFont="1" applyFill="1" applyBorder="1" applyAlignment="1">
      <alignment horizontal="center" vertical="center"/>
    </xf>
    <xf numFmtId="167" fontId="6" fillId="9" borderId="3" xfId="36" applyNumberFormat="1" applyFont="1" applyFill="1" applyBorder="1" applyAlignment="1">
      <alignment horizontal="center" vertical="center"/>
    </xf>
    <xf numFmtId="9" fontId="6" fillId="9" borderId="4" xfId="2" applyFont="1" applyFill="1" applyBorder="1" applyAlignment="1">
      <alignment horizontal="center" vertical="center"/>
    </xf>
    <xf numFmtId="167" fontId="6" fillId="9" borderId="4" xfId="36" applyNumberFormat="1" applyFont="1" applyFill="1" applyBorder="1" applyAlignment="1">
      <alignment horizontal="center" vertical="center"/>
    </xf>
    <xf numFmtId="9" fontId="6" fillId="0" borderId="0" xfId="2" applyFont="1" applyAlignment="1">
      <alignment horizontal="center" vertical="center"/>
    </xf>
    <xf numFmtId="168" fontId="6" fillId="0" borderId="0" xfId="2" applyNumberFormat="1" applyFont="1" applyAlignment="1">
      <alignment horizontal="center" vertical="center"/>
    </xf>
    <xf numFmtId="169" fontId="6" fillId="0" borderId="0" xfId="36" applyNumberFormat="1" applyFont="1" applyAlignment="1">
      <alignment horizontal="center" vertical="center"/>
    </xf>
    <xf numFmtId="167" fontId="6" fillId="0" borderId="0" xfId="36" applyNumberFormat="1" applyFont="1" applyAlignment="1">
      <alignment horizontal="center" vertical="center"/>
    </xf>
    <xf numFmtId="167" fontId="6" fillId="0" borderId="9" xfId="1" applyNumberFormat="1" applyFont="1" applyBorder="1" applyAlignment="1">
      <alignment horizontal="center" vertical="center"/>
    </xf>
    <xf numFmtId="9" fontId="6" fillId="0" borderId="6" xfId="2" applyFont="1" applyBorder="1" applyAlignment="1">
      <alignment horizontal="center" vertical="center"/>
    </xf>
    <xf numFmtId="168" fontId="6" fillId="3" borderId="6" xfId="2" applyNumberFormat="1" applyFont="1" applyFill="1" applyBorder="1" applyAlignment="1">
      <alignment horizontal="center" vertical="center"/>
    </xf>
    <xf numFmtId="167" fontId="6" fillId="3" borderId="9" xfId="1" applyNumberFormat="1" applyFont="1" applyFill="1" applyBorder="1" applyAlignment="1">
      <alignment horizontal="center" vertical="center"/>
    </xf>
    <xf numFmtId="9" fontId="6" fillId="4" borderId="9" xfId="1" applyNumberFormat="1" applyFont="1" applyFill="1" applyBorder="1" applyAlignment="1">
      <alignment horizontal="center" vertical="center"/>
    </xf>
    <xf numFmtId="167" fontId="6" fillId="0" borderId="12" xfId="1" applyNumberFormat="1" applyFont="1" applyBorder="1" applyAlignment="1">
      <alignment horizontal="center" vertical="center"/>
    </xf>
    <xf numFmtId="168" fontId="6" fillId="3" borderId="0" xfId="2" applyNumberFormat="1" applyFont="1" applyFill="1" applyAlignment="1">
      <alignment horizontal="center" vertical="center"/>
    </xf>
    <xf numFmtId="167" fontId="6" fillId="0" borderId="14" xfId="1" applyNumberFormat="1" applyFont="1" applyBorder="1" applyAlignment="1">
      <alignment horizontal="center" vertical="center"/>
    </xf>
    <xf numFmtId="9" fontId="6" fillId="0" borderId="16" xfId="2" applyFont="1" applyBorder="1" applyAlignment="1">
      <alignment horizontal="center" vertical="center"/>
    </xf>
    <xf numFmtId="168" fontId="6" fillId="3" borderId="16" xfId="2" applyNumberFormat="1" applyFont="1" applyFill="1" applyBorder="1" applyAlignment="1">
      <alignment horizontal="center" vertical="center"/>
    </xf>
    <xf numFmtId="167" fontId="6" fillId="8" borderId="14" xfId="1" applyNumberFormat="1" applyFont="1" applyFill="1" applyBorder="1" applyAlignment="1">
      <alignment horizontal="center" vertical="center"/>
    </xf>
    <xf numFmtId="9" fontId="6" fillId="9" borderId="14" xfId="2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7" fontId="6" fillId="4" borderId="6" xfId="0" applyNumberFormat="1" applyFont="1" applyFill="1" applyBorder="1" applyAlignment="1">
      <alignment horizontal="center" vertical="center"/>
    </xf>
    <xf numFmtId="9" fontId="6" fillId="4" borderId="5" xfId="0" applyNumberFormat="1" applyFont="1" applyFill="1" applyBorder="1" applyAlignment="1">
      <alignment horizontal="center" vertical="center"/>
    </xf>
    <xf numFmtId="9" fontId="6" fillId="4" borderId="7" xfId="0" applyNumberFormat="1" applyFont="1" applyFill="1" applyBorder="1" applyAlignment="1">
      <alignment horizontal="center" vertical="center"/>
    </xf>
    <xf numFmtId="9" fontId="6" fillId="4" borderId="6" xfId="0" applyNumberFormat="1" applyFont="1" applyFill="1" applyBorder="1" applyAlignment="1">
      <alignment horizontal="center" vertical="center"/>
    </xf>
    <xf numFmtId="167" fontId="6" fillId="0" borderId="9" xfId="0" applyNumberFormat="1" applyFont="1" applyBorder="1" applyAlignment="1">
      <alignment horizontal="center" vertical="center"/>
    </xf>
    <xf numFmtId="9" fontId="6" fillId="0" borderId="9" xfId="0" applyNumberFormat="1" applyFont="1" applyBorder="1" applyAlignment="1">
      <alignment horizontal="center" vertical="center"/>
    </xf>
    <xf numFmtId="168" fontId="6" fillId="3" borderId="5" xfId="0" applyNumberFormat="1" applyFont="1" applyFill="1" applyBorder="1" applyAlignment="1">
      <alignment horizontal="center" vertical="center"/>
    </xf>
    <xf numFmtId="168" fontId="6" fillId="3" borderId="9" xfId="0" applyNumberFormat="1" applyFont="1" applyFill="1" applyBorder="1" applyAlignment="1">
      <alignment horizontal="center" vertical="center"/>
    </xf>
    <xf numFmtId="9" fontId="6" fillId="3" borderId="6" xfId="0" applyNumberFormat="1" applyFont="1" applyFill="1" applyBorder="1" applyAlignment="1">
      <alignment horizontal="center" vertical="center"/>
    </xf>
    <xf numFmtId="9" fontId="6" fillId="3" borderId="7" xfId="0" applyNumberFormat="1" applyFont="1" applyFill="1" applyBorder="1" applyAlignment="1">
      <alignment horizontal="center" vertical="center"/>
    </xf>
    <xf numFmtId="169" fontId="6" fillId="4" borderId="5" xfId="0" applyNumberFormat="1" applyFont="1" applyFill="1" applyBorder="1" applyAlignment="1">
      <alignment horizontal="center" vertical="center"/>
    </xf>
    <xf numFmtId="167" fontId="6" fillId="4" borderId="5" xfId="0" applyNumberFormat="1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167" fontId="6" fillId="3" borderId="5" xfId="0" applyNumberFormat="1" applyFont="1" applyFill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9" fontId="6" fillId="4" borderId="8" xfId="0" applyNumberFormat="1" applyFont="1" applyFill="1" applyBorder="1" applyAlignment="1">
      <alignment horizontal="center" vertical="center"/>
    </xf>
    <xf numFmtId="9" fontId="6" fillId="4" borderId="10" xfId="0" applyNumberFormat="1" applyFont="1" applyFill="1" applyBorder="1" applyAlignment="1">
      <alignment horizontal="center" vertical="center"/>
    </xf>
    <xf numFmtId="9" fontId="6" fillId="4" borderId="0" xfId="0" applyNumberFormat="1" applyFont="1" applyFill="1" applyAlignment="1">
      <alignment horizontal="center" vertical="center"/>
    </xf>
    <xf numFmtId="167" fontId="6" fillId="0" borderId="12" xfId="0" applyNumberFormat="1" applyFont="1" applyBorder="1" applyAlignment="1">
      <alignment horizontal="center" vertical="center"/>
    </xf>
    <xf numFmtId="9" fontId="6" fillId="0" borderId="12" xfId="0" applyNumberFormat="1" applyFont="1" applyBorder="1" applyAlignment="1">
      <alignment horizontal="center" vertical="center"/>
    </xf>
    <xf numFmtId="168" fontId="6" fillId="3" borderId="8" xfId="0" applyNumberFormat="1" applyFont="1" applyFill="1" applyBorder="1" applyAlignment="1">
      <alignment horizontal="center" vertical="center"/>
    </xf>
    <xf numFmtId="168" fontId="6" fillId="3" borderId="12" xfId="0" applyNumberFormat="1" applyFont="1" applyFill="1" applyBorder="1" applyAlignment="1">
      <alignment horizontal="center" vertical="center"/>
    </xf>
    <xf numFmtId="9" fontId="6" fillId="3" borderId="0" xfId="0" applyNumberFormat="1" applyFont="1" applyFill="1" applyAlignment="1">
      <alignment horizontal="center" vertical="center"/>
    </xf>
    <xf numFmtId="9" fontId="6" fillId="3" borderId="10" xfId="0" applyNumberFormat="1" applyFont="1" applyFill="1" applyBorder="1" applyAlignment="1">
      <alignment horizontal="center" vertical="center"/>
    </xf>
    <xf numFmtId="169" fontId="6" fillId="4" borderId="8" xfId="0" applyNumberFormat="1" applyFont="1" applyFill="1" applyBorder="1" applyAlignment="1">
      <alignment horizontal="center" vertical="center"/>
    </xf>
    <xf numFmtId="167" fontId="6" fillId="4" borderId="8" xfId="0" applyNumberFormat="1" applyFont="1" applyFill="1" applyBorder="1" applyAlignment="1">
      <alignment horizontal="center" vertical="center"/>
    </xf>
    <xf numFmtId="167" fontId="6" fillId="4" borderId="10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7" fontId="6" fillId="0" borderId="15" xfId="0" applyNumberFormat="1" applyFont="1" applyBorder="1" applyAlignment="1">
      <alignment horizontal="center" vertical="center"/>
    </xf>
    <xf numFmtId="167" fontId="6" fillId="4" borderId="16" xfId="0" applyNumberFormat="1" applyFont="1" applyFill="1" applyBorder="1" applyAlignment="1">
      <alignment horizontal="center" vertical="center"/>
    </xf>
    <xf numFmtId="9" fontId="6" fillId="4" borderId="15" xfId="0" applyNumberFormat="1" applyFont="1" applyFill="1" applyBorder="1" applyAlignment="1">
      <alignment horizontal="center" vertical="center"/>
    </xf>
    <xf numFmtId="9" fontId="6" fillId="4" borderId="17" xfId="0" applyNumberFormat="1" applyFont="1" applyFill="1" applyBorder="1" applyAlignment="1">
      <alignment horizontal="center" vertical="center"/>
    </xf>
    <xf numFmtId="167" fontId="6" fillId="0" borderId="14" xfId="0" applyNumberFormat="1" applyFont="1" applyBorder="1" applyAlignment="1">
      <alignment horizontal="center" vertical="center"/>
    </xf>
    <xf numFmtId="168" fontId="6" fillId="3" borderId="14" xfId="0" applyNumberFormat="1" applyFont="1" applyFill="1" applyBorder="1" applyAlignment="1">
      <alignment horizontal="center" vertical="center"/>
    </xf>
    <xf numFmtId="167" fontId="6" fillId="4" borderId="15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9" fontId="6" fillId="6" borderId="17" xfId="2" applyFont="1" applyFill="1" applyBorder="1" applyAlignment="1">
      <alignment horizontal="center" vertical="center"/>
    </xf>
    <xf numFmtId="169" fontId="6" fillId="4" borderId="15" xfId="0" applyNumberFormat="1" applyFont="1" applyFill="1" applyBorder="1" applyAlignment="1">
      <alignment horizontal="center" vertical="center"/>
    </xf>
    <xf numFmtId="9" fontId="6" fillId="8" borderId="5" xfId="2" applyFont="1" applyFill="1" applyBorder="1" applyAlignment="1">
      <alignment horizontal="center" vertical="center"/>
    </xf>
    <xf numFmtId="9" fontId="6" fillId="8" borderId="9" xfId="2" applyFont="1" applyFill="1" applyBorder="1" applyAlignment="1">
      <alignment horizontal="center" vertical="center"/>
    </xf>
    <xf numFmtId="9" fontId="6" fillId="6" borderId="16" xfId="2" applyFont="1" applyFill="1" applyBorder="1" applyAlignment="1">
      <alignment horizontal="center" vertical="center"/>
    </xf>
    <xf numFmtId="167" fontId="8" fillId="5" borderId="1" xfId="1" applyNumberFormat="1" applyFont="1" applyFill="1" applyBorder="1" applyAlignment="1">
      <alignment horizontal="center" vertical="center"/>
    </xf>
    <xf numFmtId="167" fontId="8" fillId="5" borderId="2" xfId="1" applyNumberFormat="1" applyFont="1" applyFill="1" applyBorder="1" applyAlignment="1">
      <alignment horizontal="center" vertical="center"/>
    </xf>
    <xf numFmtId="167" fontId="8" fillId="5" borderId="3" xfId="1" applyNumberFormat="1" applyFont="1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9" fontId="8" fillId="5" borderId="3" xfId="2" applyFont="1" applyFill="1" applyBorder="1" applyAlignment="1">
      <alignment horizontal="center" vertical="center"/>
    </xf>
    <xf numFmtId="168" fontId="8" fillId="5" borderId="3" xfId="2" applyNumberFormat="1" applyFont="1" applyFill="1" applyBorder="1" applyAlignment="1">
      <alignment horizontal="center" vertical="center"/>
    </xf>
    <xf numFmtId="169" fontId="8" fillId="5" borderId="1" xfId="1" applyNumberFormat="1" applyFont="1" applyFill="1" applyBorder="1" applyAlignment="1">
      <alignment horizontal="center" vertical="center"/>
    </xf>
    <xf numFmtId="169" fontId="8" fillId="5" borderId="2" xfId="1" applyNumberFormat="1" applyFont="1" applyFill="1" applyBorder="1" applyAlignment="1">
      <alignment horizontal="center" vertical="center"/>
    </xf>
    <xf numFmtId="169" fontId="8" fillId="5" borderId="3" xfId="1" applyNumberFormat="1" applyFont="1" applyFill="1" applyBorder="1" applyAlignment="1">
      <alignment horizontal="center" vertical="center"/>
    </xf>
    <xf numFmtId="172" fontId="6" fillId="4" borderId="5" xfId="36" applyNumberFormat="1" applyFont="1" applyFill="1" applyBorder="1" applyAlignment="1">
      <alignment horizontal="center" vertical="center"/>
    </xf>
    <xf numFmtId="172" fontId="6" fillId="4" borderId="8" xfId="36" applyNumberFormat="1" applyFont="1" applyFill="1" applyBorder="1" applyAlignment="1">
      <alignment horizontal="center" vertical="center"/>
    </xf>
    <xf numFmtId="172" fontId="6" fillId="4" borderId="0" xfId="36" applyNumberFormat="1" applyFont="1" applyFill="1" applyAlignment="1">
      <alignment horizontal="center" vertical="center"/>
    </xf>
    <xf numFmtId="171" fontId="6" fillId="4" borderId="10" xfId="36" applyNumberFormat="1" applyFont="1" applyFill="1" applyBorder="1" applyAlignment="1">
      <alignment horizontal="center" vertical="center"/>
    </xf>
    <xf numFmtId="167" fontId="6" fillId="13" borderId="9" xfId="1" applyNumberFormat="1" applyFont="1" applyFill="1" applyBorder="1" applyAlignment="1">
      <alignment horizontal="center" vertical="center"/>
    </xf>
    <xf numFmtId="167" fontId="6" fillId="13" borderId="12" xfId="2" applyNumberFormat="1" applyFont="1" applyFill="1" applyBorder="1" applyAlignment="1">
      <alignment horizontal="center" vertical="center"/>
    </xf>
    <xf numFmtId="169" fontId="6" fillId="4" borderId="6" xfId="36" applyNumberFormat="1" applyFont="1" applyFill="1" applyBorder="1" applyAlignment="1">
      <alignment horizontal="center" vertical="center"/>
    </xf>
    <xf numFmtId="169" fontId="6" fillId="4" borderId="7" xfId="36" applyNumberFormat="1" applyFont="1" applyFill="1" applyBorder="1" applyAlignment="1">
      <alignment horizontal="center" vertical="center"/>
    </xf>
    <xf numFmtId="167" fontId="6" fillId="11" borderId="5" xfId="0" applyNumberFormat="1" applyFont="1" applyFill="1" applyBorder="1" applyAlignment="1">
      <alignment horizontal="center" vertical="center"/>
    </xf>
    <xf numFmtId="167" fontId="6" fillId="11" borderId="8" xfId="0" applyNumberFormat="1" applyFont="1" applyFill="1" applyBorder="1" applyAlignment="1">
      <alignment horizontal="center" vertical="center"/>
    </xf>
    <xf numFmtId="167" fontId="6" fillId="11" borderId="15" xfId="0" applyNumberFormat="1" applyFont="1" applyFill="1" applyBorder="1" applyAlignment="1">
      <alignment horizontal="center" vertical="center"/>
    </xf>
    <xf numFmtId="9" fontId="6" fillId="12" borderId="9" xfId="36" applyNumberFormat="1" applyFont="1" applyFill="1" applyBorder="1" applyAlignment="1">
      <alignment horizontal="center" vertical="center"/>
    </xf>
    <xf numFmtId="171" fontId="6" fillId="4" borderId="7" xfId="36" applyNumberFormat="1" applyFont="1" applyFill="1" applyBorder="1" applyAlignment="1">
      <alignment horizontal="center" vertical="center"/>
    </xf>
    <xf numFmtId="9" fontId="6" fillId="12" borderId="12" xfId="36" applyNumberFormat="1" applyFont="1" applyFill="1" applyBorder="1" applyAlignment="1">
      <alignment horizontal="center" vertical="center"/>
    </xf>
    <xf numFmtId="9" fontId="6" fillId="4" borderId="9" xfId="36" applyNumberFormat="1" applyFont="1" applyFill="1" applyBorder="1" applyAlignment="1">
      <alignment horizontal="center" vertical="center"/>
    </xf>
    <xf numFmtId="9" fontId="6" fillId="4" borderId="12" xfId="36" applyNumberFormat="1" applyFont="1" applyFill="1" applyBorder="1" applyAlignment="1">
      <alignment horizontal="center" vertical="center"/>
    </xf>
    <xf numFmtId="9" fontId="6" fillId="4" borderId="14" xfId="36" applyNumberFormat="1" applyFont="1" applyFill="1" applyBorder="1" applyAlignment="1">
      <alignment horizontal="center" vertical="center"/>
    </xf>
    <xf numFmtId="172" fontId="6" fillId="4" borderId="15" xfId="36" applyNumberFormat="1" applyFont="1" applyFill="1" applyBorder="1" applyAlignment="1">
      <alignment horizontal="center" vertical="center"/>
    </xf>
    <xf numFmtId="172" fontId="6" fillId="4" borderId="16" xfId="36" applyNumberFormat="1" applyFont="1" applyFill="1" applyBorder="1" applyAlignment="1">
      <alignment horizontal="center" vertical="center"/>
    </xf>
    <xf numFmtId="171" fontId="6" fillId="4" borderId="17" xfId="36" applyNumberFormat="1" applyFont="1" applyFill="1" applyBorder="1" applyAlignment="1">
      <alignment horizontal="center" vertical="center"/>
    </xf>
    <xf numFmtId="9" fontId="6" fillId="4" borderId="5" xfId="36" applyNumberFormat="1" applyFont="1" applyFill="1" applyBorder="1" applyAlignment="1">
      <alignment horizontal="center" vertical="center"/>
    </xf>
    <xf numFmtId="9" fontId="6" fillId="4" borderId="8" xfId="36" applyNumberFormat="1" applyFont="1" applyFill="1" applyBorder="1" applyAlignment="1">
      <alignment horizontal="center" vertical="center"/>
    </xf>
    <xf numFmtId="9" fontId="6" fillId="4" borderId="15" xfId="36" applyNumberFormat="1" applyFont="1" applyFill="1" applyBorder="1" applyAlignment="1">
      <alignment horizontal="center" vertical="center"/>
    </xf>
    <xf numFmtId="172" fontId="6" fillId="4" borderId="5" xfId="0" applyNumberFormat="1" applyFont="1" applyFill="1" applyBorder="1" applyAlignment="1">
      <alignment horizontal="center" vertical="center"/>
    </xf>
    <xf numFmtId="172" fontId="6" fillId="4" borderId="6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2" fontId="6" fillId="4" borderId="8" xfId="0" applyNumberFormat="1" applyFont="1" applyFill="1" applyBorder="1" applyAlignment="1">
      <alignment horizontal="center" vertical="center"/>
    </xf>
    <xf numFmtId="172" fontId="6" fillId="4" borderId="0" xfId="0" applyNumberFormat="1" applyFont="1" applyFill="1" applyAlignment="1">
      <alignment horizontal="center" vertical="center"/>
    </xf>
    <xf numFmtId="171" fontId="6" fillId="4" borderId="10" xfId="0" applyNumberFormat="1" applyFont="1" applyFill="1" applyBorder="1" applyAlignment="1">
      <alignment horizontal="center" vertical="center"/>
    </xf>
    <xf numFmtId="167" fontId="6" fillId="4" borderId="9" xfId="2" applyNumberFormat="1" applyFont="1" applyFill="1" applyBorder="1" applyAlignment="1">
      <alignment horizontal="center" vertical="center"/>
    </xf>
    <xf numFmtId="167" fontId="6" fillId="4" borderId="14" xfId="2" applyNumberFormat="1" applyFont="1" applyFill="1" applyBorder="1" applyAlignment="1">
      <alignment horizontal="center" vertical="center"/>
    </xf>
    <xf numFmtId="167" fontId="6" fillId="4" borderId="9" xfId="0" applyNumberFormat="1" applyFont="1" applyFill="1" applyBorder="1" applyAlignment="1">
      <alignment horizontal="center" vertical="center"/>
    </xf>
    <xf numFmtId="167" fontId="6" fillId="4" borderId="12" xfId="0" applyNumberFormat="1" applyFont="1" applyFill="1" applyBorder="1" applyAlignment="1">
      <alignment horizontal="center" vertical="center"/>
    </xf>
    <xf numFmtId="9" fontId="6" fillId="11" borderId="9" xfId="36" applyNumberFormat="1" applyFont="1" applyFill="1" applyBorder="1" applyAlignment="1">
      <alignment horizontal="center" vertical="center"/>
    </xf>
    <xf numFmtId="9" fontId="6" fillId="11" borderId="12" xfId="36" applyNumberFormat="1" applyFont="1" applyFill="1" applyBorder="1" applyAlignment="1">
      <alignment horizontal="center" vertical="center"/>
    </xf>
    <xf numFmtId="9" fontId="6" fillId="13" borderId="9" xfId="36" applyNumberFormat="1" applyFont="1" applyFill="1" applyBorder="1" applyAlignment="1">
      <alignment horizontal="center" vertical="center"/>
    </xf>
    <xf numFmtId="9" fontId="6" fillId="13" borderId="12" xfId="36" applyNumberFormat="1" applyFont="1" applyFill="1" applyBorder="1" applyAlignment="1">
      <alignment horizontal="center" vertical="center"/>
    </xf>
    <xf numFmtId="9" fontId="6" fillId="13" borderId="14" xfId="36" applyNumberFormat="1" applyFont="1" applyFill="1" applyBorder="1" applyAlignment="1">
      <alignment horizontal="center" vertical="center"/>
    </xf>
    <xf numFmtId="9" fontId="6" fillId="8" borderId="1" xfId="36" applyNumberFormat="1" applyFont="1" applyFill="1" applyBorder="1" applyAlignment="1">
      <alignment horizontal="center" vertical="center"/>
    </xf>
    <xf numFmtId="9" fontId="6" fillId="6" borderId="1" xfId="36" applyNumberFormat="1" applyFont="1" applyFill="1" applyBorder="1" applyAlignment="1">
      <alignment horizontal="center" vertical="center"/>
    </xf>
    <xf numFmtId="9" fontId="6" fillId="9" borderId="1" xfId="36" applyNumberFormat="1" applyFont="1" applyFill="1" applyBorder="1" applyAlignment="1">
      <alignment horizontal="center" vertical="center"/>
    </xf>
    <xf numFmtId="168" fontId="8" fillId="5" borderId="1" xfId="2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9" fontId="8" fillId="5" borderId="2" xfId="2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7" fontId="8" fillId="5" borderId="1" xfId="36" applyNumberFormat="1" applyFont="1" applyFill="1" applyBorder="1" applyAlignment="1">
      <alignment horizontal="center" vertical="center"/>
    </xf>
    <xf numFmtId="167" fontId="8" fillId="5" borderId="2" xfId="36" applyNumberFormat="1" applyFont="1" applyFill="1" applyBorder="1" applyAlignment="1">
      <alignment horizontal="center" vertical="center"/>
    </xf>
    <xf numFmtId="167" fontId="8" fillId="5" borderId="3" xfId="36" applyNumberFormat="1" applyFont="1" applyFill="1" applyBorder="1" applyAlignment="1">
      <alignment horizontal="center" vertical="center"/>
    </xf>
    <xf numFmtId="9" fontId="6" fillId="16" borderId="14" xfId="2" applyFont="1" applyFill="1" applyBorder="1" applyAlignment="1">
      <alignment horizontal="center" vertical="center"/>
    </xf>
    <xf numFmtId="167" fontId="7" fillId="10" borderId="2" xfId="1" applyNumberFormat="1" applyFont="1" applyFill="1" applyBorder="1" applyAlignment="1">
      <alignment horizontal="center" vertical="center"/>
    </xf>
    <xf numFmtId="9" fontId="7" fillId="10" borderId="1" xfId="2" applyFont="1" applyFill="1" applyBorder="1" applyAlignment="1">
      <alignment horizontal="center" vertical="center"/>
    </xf>
    <xf numFmtId="9" fontId="7" fillId="10" borderId="3" xfId="2" applyFont="1" applyFill="1" applyBorder="1" applyAlignment="1">
      <alignment horizontal="center" vertical="center"/>
    </xf>
    <xf numFmtId="9" fontId="7" fillId="10" borderId="2" xfId="2" applyFont="1" applyFill="1" applyBorder="1" applyAlignment="1">
      <alignment horizontal="center" vertical="center"/>
    </xf>
    <xf numFmtId="167" fontId="7" fillId="10" borderId="4" xfId="1" applyNumberFormat="1" applyFont="1" applyFill="1" applyBorder="1" applyAlignment="1">
      <alignment horizontal="center" vertical="center"/>
    </xf>
    <xf numFmtId="9" fontId="7" fillId="10" borderId="4" xfId="2" applyFont="1" applyFill="1" applyBorder="1" applyAlignment="1">
      <alignment horizontal="center" vertical="center"/>
    </xf>
    <xf numFmtId="9" fontId="7" fillId="10" borderId="2" xfId="1" applyNumberFormat="1" applyFont="1" applyFill="1" applyBorder="1" applyAlignment="1">
      <alignment horizontal="center" vertical="center"/>
    </xf>
    <xf numFmtId="9" fontId="7" fillId="10" borderId="3" xfId="1" applyNumberFormat="1" applyFont="1" applyFill="1" applyBorder="1" applyAlignment="1">
      <alignment horizontal="center" vertical="center"/>
    </xf>
    <xf numFmtId="169" fontId="7" fillId="10" borderId="1" xfId="1" applyNumberFormat="1" applyFont="1" applyFill="1" applyBorder="1" applyAlignment="1">
      <alignment horizontal="center" vertical="center"/>
    </xf>
    <xf numFmtId="169" fontId="7" fillId="10" borderId="2" xfId="1" applyNumberFormat="1" applyFont="1" applyFill="1" applyBorder="1" applyAlignment="1">
      <alignment horizontal="center" vertical="center"/>
    </xf>
    <xf numFmtId="169" fontId="7" fillId="10" borderId="3" xfId="1" applyNumberFormat="1" applyFont="1" applyFill="1" applyBorder="1" applyAlignment="1">
      <alignment horizontal="center" vertical="center"/>
    </xf>
    <xf numFmtId="167" fontId="7" fillId="10" borderId="1" xfId="1" applyNumberFormat="1" applyFont="1" applyFill="1" applyBorder="1" applyAlignment="1">
      <alignment horizontal="center" vertical="center"/>
    </xf>
    <xf numFmtId="167" fontId="7" fillId="10" borderId="3" xfId="1" applyNumberFormat="1" applyFont="1" applyFill="1" applyBorder="1" applyAlignment="1">
      <alignment horizontal="center" vertical="center"/>
    </xf>
    <xf numFmtId="167" fontId="7" fillId="10" borderId="1" xfId="36" applyNumberFormat="1" applyFont="1" applyFill="1" applyBorder="1" applyAlignment="1">
      <alignment horizontal="center" vertical="center"/>
    </xf>
    <xf numFmtId="167" fontId="7" fillId="10" borderId="2" xfId="36" applyNumberFormat="1" applyFont="1" applyFill="1" applyBorder="1" applyAlignment="1">
      <alignment horizontal="center" vertical="center"/>
    </xf>
    <xf numFmtId="167" fontId="7" fillId="10" borderId="3" xfId="36" applyNumberFormat="1" applyFont="1" applyFill="1" applyBorder="1" applyAlignment="1">
      <alignment horizontal="center" vertical="center"/>
    </xf>
    <xf numFmtId="167" fontId="7" fillId="10" borderId="4" xfId="36" applyNumberFormat="1" applyFont="1" applyFill="1" applyBorder="1" applyAlignment="1">
      <alignment horizontal="center" vertical="center"/>
    </xf>
    <xf numFmtId="9" fontId="6" fillId="13" borderId="9" xfId="0" applyNumberFormat="1" applyFont="1" applyFill="1" applyBorder="1" applyAlignment="1">
      <alignment horizontal="center" vertical="center"/>
    </xf>
    <xf numFmtId="9" fontId="6" fillId="13" borderId="12" xfId="0" applyNumberFormat="1" applyFont="1" applyFill="1" applyBorder="1" applyAlignment="1">
      <alignment horizontal="center" vertical="center"/>
    </xf>
    <xf numFmtId="167" fontId="6" fillId="8" borderId="4" xfId="2" applyNumberFormat="1" applyFont="1" applyFill="1" applyBorder="1" applyAlignment="1">
      <alignment horizontal="center" vertical="center"/>
    </xf>
    <xf numFmtId="167" fontId="6" fillId="6" borderId="4" xfId="2" applyNumberFormat="1" applyFont="1" applyFill="1" applyBorder="1" applyAlignment="1">
      <alignment horizontal="center" vertical="center"/>
    </xf>
    <xf numFmtId="167" fontId="6" fillId="6" borderId="14" xfId="2" applyNumberFormat="1" applyFont="1" applyFill="1" applyBorder="1" applyAlignment="1">
      <alignment horizontal="center" vertical="center"/>
    </xf>
    <xf numFmtId="167" fontId="6" fillId="8" borderId="1" xfId="2" applyNumberFormat="1" applyFont="1" applyFill="1" applyBorder="1" applyAlignment="1">
      <alignment horizontal="center" vertical="center"/>
    </xf>
    <xf numFmtId="167" fontId="6" fillId="9" borderId="14" xfId="2" applyNumberFormat="1" applyFont="1" applyFill="1" applyBorder="1" applyAlignment="1">
      <alignment horizontal="center" vertical="center"/>
    </xf>
    <xf numFmtId="167" fontId="7" fillId="10" borderId="1" xfId="2" applyNumberFormat="1" applyFont="1" applyFill="1" applyBorder="1" applyAlignment="1">
      <alignment horizontal="center" vertical="center"/>
    </xf>
    <xf numFmtId="167" fontId="7" fillId="10" borderId="2" xfId="2" applyNumberFormat="1" applyFont="1" applyFill="1" applyBorder="1" applyAlignment="1">
      <alignment horizontal="center" vertical="center"/>
    </xf>
    <xf numFmtId="167" fontId="6" fillId="6" borderId="15" xfId="2" applyNumberFormat="1" applyFont="1" applyFill="1" applyBorder="1" applyAlignment="1">
      <alignment horizontal="center" vertical="center"/>
    </xf>
    <xf numFmtId="172" fontId="6" fillId="8" borderId="1" xfId="36" applyNumberFormat="1" applyFont="1" applyFill="1" applyBorder="1" applyAlignment="1">
      <alignment horizontal="center" vertical="center"/>
    </xf>
    <xf numFmtId="172" fontId="6" fillId="8" borderId="2" xfId="36" applyNumberFormat="1" applyFont="1" applyFill="1" applyBorder="1" applyAlignment="1">
      <alignment horizontal="center" vertical="center"/>
    </xf>
    <xf numFmtId="171" fontId="6" fillId="8" borderId="3" xfId="36" applyNumberFormat="1" applyFont="1" applyFill="1" applyBorder="1" applyAlignment="1">
      <alignment horizontal="center" vertical="center"/>
    </xf>
    <xf numFmtId="172" fontId="6" fillId="6" borderId="1" xfId="36" applyNumberFormat="1" applyFont="1" applyFill="1" applyBorder="1" applyAlignment="1">
      <alignment horizontal="center" vertical="center"/>
    </xf>
    <xf numFmtId="172" fontId="6" fillId="6" borderId="2" xfId="36" applyNumberFormat="1" applyFont="1" applyFill="1" applyBorder="1" applyAlignment="1">
      <alignment horizontal="center" vertical="center"/>
    </xf>
    <xf numFmtId="171" fontId="6" fillId="6" borderId="3" xfId="36" applyNumberFormat="1" applyFont="1" applyFill="1" applyBorder="1" applyAlignment="1">
      <alignment horizontal="center" vertical="center"/>
    </xf>
    <xf numFmtId="172" fontId="6" fillId="9" borderId="1" xfId="36" applyNumberFormat="1" applyFont="1" applyFill="1" applyBorder="1" applyAlignment="1">
      <alignment horizontal="center" vertical="center"/>
    </xf>
    <xf numFmtId="172" fontId="6" fillId="9" borderId="2" xfId="36" applyNumberFormat="1" applyFont="1" applyFill="1" applyBorder="1" applyAlignment="1">
      <alignment horizontal="center" vertical="center"/>
    </xf>
    <xf numFmtId="171" fontId="6" fillId="9" borderId="3" xfId="36" applyNumberFormat="1" applyFont="1" applyFill="1" applyBorder="1" applyAlignment="1">
      <alignment horizontal="center" vertical="center"/>
    </xf>
    <xf numFmtId="172" fontId="7" fillId="10" borderId="1" xfId="36" applyNumberFormat="1" applyFont="1" applyFill="1" applyBorder="1" applyAlignment="1">
      <alignment horizontal="center" vertical="center"/>
    </xf>
    <xf numFmtId="172" fontId="7" fillId="10" borderId="2" xfId="36" applyNumberFormat="1" applyFont="1" applyFill="1" applyBorder="1" applyAlignment="1">
      <alignment horizontal="center" vertical="center"/>
    </xf>
    <xf numFmtId="171" fontId="7" fillId="10" borderId="3" xfId="36" applyNumberFormat="1" applyFont="1" applyFill="1" applyBorder="1" applyAlignment="1">
      <alignment horizontal="center" vertical="center"/>
    </xf>
    <xf numFmtId="172" fontId="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72" fontId="7" fillId="10" borderId="2" xfId="1" applyNumberFormat="1" applyFont="1" applyFill="1" applyBorder="1" applyAlignment="1">
      <alignment horizontal="center" vertical="center"/>
    </xf>
    <xf numFmtId="172" fontId="8" fillId="5" borderId="1" xfId="36" applyNumberFormat="1" applyFont="1" applyFill="1" applyBorder="1" applyAlignment="1">
      <alignment horizontal="center" vertical="center"/>
    </xf>
    <xf numFmtId="172" fontId="8" fillId="5" borderId="2" xfId="36" applyNumberFormat="1" applyFont="1" applyFill="1" applyBorder="1" applyAlignment="1">
      <alignment horizontal="center" vertical="center"/>
    </xf>
    <xf numFmtId="171" fontId="8" fillId="5" borderId="3" xfId="36" applyNumberFormat="1" applyFont="1" applyFill="1" applyBorder="1" applyAlignment="1">
      <alignment horizontal="center" vertical="center"/>
    </xf>
    <xf numFmtId="9" fontId="6" fillId="8" borderId="4" xfId="36" applyNumberFormat="1" applyFont="1" applyFill="1" applyBorder="1" applyAlignment="1">
      <alignment horizontal="center" vertical="center"/>
    </xf>
    <xf numFmtId="9" fontId="6" fillId="6" borderId="4" xfId="36" applyNumberFormat="1" applyFont="1" applyFill="1" applyBorder="1" applyAlignment="1">
      <alignment horizontal="center" vertical="center"/>
    </xf>
    <xf numFmtId="9" fontId="6" fillId="9" borderId="4" xfId="36" applyNumberFormat="1" applyFont="1" applyFill="1" applyBorder="1" applyAlignment="1">
      <alignment horizontal="center" vertical="center"/>
    </xf>
    <xf numFmtId="9" fontId="7" fillId="10" borderId="1" xfId="36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8" fillId="5" borderId="1" xfId="36" applyNumberFormat="1" applyFont="1" applyFill="1" applyBorder="1" applyAlignment="1">
      <alignment horizontal="center" vertical="center"/>
    </xf>
    <xf numFmtId="9" fontId="7" fillId="10" borderId="4" xfId="36" applyNumberFormat="1" applyFont="1" applyFill="1" applyBorder="1" applyAlignment="1">
      <alignment horizontal="center" vertical="center"/>
    </xf>
    <xf numFmtId="9" fontId="8" fillId="5" borderId="4" xfId="36" applyNumberFormat="1" applyFont="1" applyFill="1" applyBorder="1" applyAlignment="1">
      <alignment horizontal="center" vertical="center"/>
    </xf>
    <xf numFmtId="172" fontId="7" fillId="10" borderId="1" xfId="1" applyNumberFormat="1" applyFont="1" applyFill="1" applyBorder="1" applyAlignment="1">
      <alignment horizontal="center" vertical="center"/>
    </xf>
    <xf numFmtId="171" fontId="7" fillId="10" borderId="3" xfId="1" applyNumberFormat="1" applyFont="1" applyFill="1" applyBorder="1" applyAlignment="1">
      <alignment horizontal="center" vertical="center"/>
    </xf>
    <xf numFmtId="168" fontId="6" fillId="6" borderId="2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9" fontId="6" fillId="0" borderId="16" xfId="36" applyNumberFormat="1" applyFont="1" applyBorder="1" applyAlignment="1">
      <alignment horizontal="center" vertical="center"/>
    </xf>
    <xf numFmtId="9" fontId="4" fillId="0" borderId="16" xfId="2" applyBorder="1"/>
    <xf numFmtId="167" fontId="6" fillId="0" borderId="2" xfId="36" applyNumberFormat="1" applyFont="1" applyBorder="1" applyAlignment="1">
      <alignment horizontal="center" vertical="center"/>
    </xf>
    <xf numFmtId="169" fontId="6" fillId="0" borderId="2" xfId="36" applyNumberFormat="1" applyFont="1" applyBorder="1" applyAlignment="1">
      <alignment horizontal="center" vertical="center"/>
    </xf>
    <xf numFmtId="41" fontId="6" fillId="0" borderId="16" xfId="37" applyFont="1" applyFill="1" applyBorder="1" applyAlignment="1">
      <alignment horizontal="center" vertical="center"/>
    </xf>
    <xf numFmtId="9" fontId="6" fillId="0" borderId="16" xfId="36" applyNumberFormat="1" applyFont="1" applyBorder="1" applyAlignment="1">
      <alignment horizontal="center" vertical="center"/>
    </xf>
    <xf numFmtId="167" fontId="7" fillId="6" borderId="1" xfId="1" applyNumberFormat="1" applyFont="1" applyFill="1" applyBorder="1" applyAlignment="1">
      <alignment horizontal="center" vertical="center"/>
    </xf>
    <xf numFmtId="167" fontId="7" fillId="6" borderId="2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8" fontId="7" fillId="6" borderId="2" xfId="2" applyNumberFormat="1" applyFont="1" applyFill="1" applyBorder="1" applyAlignment="1">
      <alignment horizontal="center" vertical="center"/>
    </xf>
    <xf numFmtId="168" fontId="7" fillId="6" borderId="3" xfId="2" applyNumberFormat="1" applyFont="1" applyFill="1" applyBorder="1" applyAlignment="1">
      <alignment horizontal="center" vertical="center"/>
    </xf>
    <xf numFmtId="9" fontId="7" fillId="6" borderId="2" xfId="2" applyFont="1" applyFill="1" applyBorder="1" applyAlignment="1">
      <alignment horizontal="center" vertical="center"/>
    </xf>
    <xf numFmtId="9" fontId="7" fillId="6" borderId="3" xfId="2" applyFont="1" applyFill="1" applyBorder="1" applyAlignment="1">
      <alignment horizontal="center" vertical="center"/>
    </xf>
    <xf numFmtId="169" fontId="7" fillId="6" borderId="1" xfId="36" applyNumberFormat="1" applyFont="1" applyFill="1" applyBorder="1" applyAlignment="1">
      <alignment horizontal="center" vertical="center"/>
    </xf>
    <xf numFmtId="169" fontId="7" fillId="6" borderId="2" xfId="36" applyNumberFormat="1" applyFont="1" applyFill="1" applyBorder="1" applyAlignment="1">
      <alignment horizontal="center" vertical="center"/>
    </xf>
    <xf numFmtId="167" fontId="7" fillId="6" borderId="2" xfId="36" applyNumberFormat="1" applyFont="1" applyFill="1" applyBorder="1" applyAlignment="1">
      <alignment horizontal="center" vertical="center"/>
    </xf>
    <xf numFmtId="167" fontId="7" fillId="6" borderId="3" xfId="36" applyNumberFormat="1" applyFont="1" applyFill="1" applyBorder="1" applyAlignment="1">
      <alignment horizontal="center" vertical="center"/>
    </xf>
    <xf numFmtId="169" fontId="7" fillId="6" borderId="3" xfId="36" applyNumberFormat="1" applyFont="1" applyFill="1" applyBorder="1" applyAlignment="1">
      <alignment horizontal="center" vertical="center"/>
    </xf>
    <xf numFmtId="41" fontId="7" fillId="6" borderId="1" xfId="37" applyFont="1" applyFill="1" applyBorder="1" applyAlignment="1">
      <alignment horizontal="center" vertical="center"/>
    </xf>
    <xf numFmtId="41" fontId="7" fillId="6" borderId="2" xfId="37" applyFont="1" applyFill="1" applyBorder="1" applyAlignment="1">
      <alignment horizontal="center" vertical="center"/>
    </xf>
    <xf numFmtId="9" fontId="7" fillId="6" borderId="2" xfId="36" applyNumberFormat="1" applyFont="1" applyFill="1" applyBorder="1" applyAlignment="1">
      <alignment horizontal="center" vertical="center"/>
    </xf>
    <xf numFmtId="9" fontId="7" fillId="6" borderId="3" xfId="36" applyNumberFormat="1" applyFont="1" applyFill="1" applyBorder="1" applyAlignment="1">
      <alignment horizontal="center" vertical="center"/>
    </xf>
    <xf numFmtId="168" fontId="6" fillId="4" borderId="6" xfId="36" applyNumberFormat="1" applyFont="1" applyFill="1" applyBorder="1" applyAlignment="1">
      <alignment horizontal="center" vertical="center"/>
    </xf>
    <xf numFmtId="168" fontId="6" fillId="4" borderId="0" xfId="36" applyNumberFormat="1" applyFont="1" applyFill="1" applyAlignment="1">
      <alignment horizontal="center" vertical="center"/>
    </xf>
    <xf numFmtId="168" fontId="6" fillId="4" borderId="16" xfId="36" applyNumberFormat="1" applyFont="1" applyFill="1" applyBorder="1" applyAlignment="1">
      <alignment horizontal="center" vertical="center"/>
    </xf>
    <xf numFmtId="168" fontId="6" fillId="8" borderId="1" xfId="36" applyNumberFormat="1" applyFont="1" applyFill="1" applyBorder="1" applyAlignment="1">
      <alignment horizontal="center" vertical="center"/>
    </xf>
    <xf numFmtId="168" fontId="6" fillId="8" borderId="2" xfId="36" applyNumberFormat="1" applyFont="1" applyFill="1" applyBorder="1" applyAlignment="1">
      <alignment horizontal="center" vertical="center"/>
    </xf>
    <xf numFmtId="168" fontId="6" fillId="6" borderId="1" xfId="36" applyNumberFormat="1" applyFont="1" applyFill="1" applyBorder="1" applyAlignment="1">
      <alignment horizontal="center" vertical="center"/>
    </xf>
    <xf numFmtId="168" fontId="6" fillId="6" borderId="2" xfId="36" applyNumberFormat="1" applyFont="1" applyFill="1" applyBorder="1" applyAlignment="1">
      <alignment horizontal="center" vertical="center"/>
    </xf>
    <xf numFmtId="168" fontId="6" fillId="8" borderId="3" xfId="36" applyNumberFormat="1" applyFont="1" applyFill="1" applyBorder="1" applyAlignment="1">
      <alignment horizontal="center" vertical="center"/>
    </xf>
    <xf numFmtId="168" fontId="6" fillId="6" borderId="3" xfId="36" applyNumberFormat="1" applyFont="1" applyFill="1" applyBorder="1" applyAlignment="1">
      <alignment horizontal="center" vertical="center"/>
    </xf>
    <xf numFmtId="168" fontId="6" fillId="9" borderId="1" xfId="36" applyNumberFormat="1" applyFont="1" applyFill="1" applyBorder="1" applyAlignment="1">
      <alignment horizontal="center" vertical="center"/>
    </xf>
    <xf numFmtId="168" fontId="6" fillId="9" borderId="2" xfId="36" applyNumberFormat="1" applyFont="1" applyFill="1" applyBorder="1" applyAlignment="1">
      <alignment horizontal="center" vertical="center"/>
    </xf>
    <xf numFmtId="168" fontId="6" fillId="9" borderId="3" xfId="36" applyNumberFormat="1" applyFont="1" applyFill="1" applyBorder="1" applyAlignment="1">
      <alignment horizontal="center" vertical="center"/>
    </xf>
    <xf numFmtId="168" fontId="6" fillId="0" borderId="0" xfId="36" applyNumberFormat="1" applyFont="1" applyAlignment="1">
      <alignment horizontal="center" vertical="center"/>
    </xf>
    <xf numFmtId="168" fontId="6" fillId="4" borderId="7" xfId="36" applyNumberFormat="1" applyFont="1" applyFill="1" applyBorder="1" applyAlignment="1">
      <alignment horizontal="center" vertical="center"/>
    </xf>
    <xf numFmtId="168" fontId="6" fillId="4" borderId="10" xfId="36" applyNumberFormat="1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8" fontId="7" fillId="10" borderId="1" xfId="1" applyNumberFormat="1" applyFont="1" applyFill="1" applyBorder="1" applyAlignment="1">
      <alignment horizontal="center" vertical="center"/>
    </xf>
    <xf numFmtId="168" fontId="7" fillId="10" borderId="2" xfId="1" applyNumberFormat="1" applyFont="1" applyFill="1" applyBorder="1" applyAlignment="1">
      <alignment horizontal="center" vertical="center"/>
    </xf>
    <xf numFmtId="168" fontId="7" fillId="10" borderId="3" xfId="1" applyNumberFormat="1" applyFont="1" applyFill="1" applyBorder="1" applyAlignment="1">
      <alignment horizontal="center" vertical="center"/>
    </xf>
    <xf numFmtId="168" fontId="6" fillId="4" borderId="17" xfId="36" applyNumberFormat="1" applyFont="1" applyFill="1" applyBorder="1" applyAlignment="1">
      <alignment horizontal="center" vertical="center"/>
    </xf>
    <xf numFmtId="168" fontId="8" fillId="5" borderId="1" xfId="1" applyNumberFormat="1" applyFont="1" applyFill="1" applyBorder="1" applyAlignment="1">
      <alignment horizontal="center" vertical="center"/>
    </xf>
    <xf numFmtId="168" fontId="8" fillId="5" borderId="2" xfId="1" applyNumberFormat="1" applyFont="1" applyFill="1" applyBorder="1" applyAlignment="1">
      <alignment horizontal="center" vertical="center"/>
    </xf>
    <xf numFmtId="168" fontId="8" fillId="5" borderId="3" xfId="1" applyNumberFormat="1" applyFont="1" applyFill="1" applyBorder="1" applyAlignment="1">
      <alignment horizontal="center" vertical="center"/>
    </xf>
    <xf numFmtId="168" fontId="9" fillId="15" borderId="0" xfId="2" applyNumberFormat="1" applyFont="1" applyFill="1" applyAlignment="1">
      <alignment horizontal="center"/>
    </xf>
    <xf numFmtId="168" fontId="6" fillId="8" borderId="1" xfId="2" applyNumberFormat="1" applyFont="1" applyFill="1" applyBorder="1" applyAlignment="1">
      <alignment horizontal="center" vertical="center"/>
    </xf>
    <xf numFmtId="168" fontId="6" fillId="8" borderId="2" xfId="2" applyNumberFormat="1" applyFont="1" applyFill="1" applyBorder="1" applyAlignment="1">
      <alignment horizontal="center" vertical="center"/>
    </xf>
    <xf numFmtId="168" fontId="6" fillId="9" borderId="1" xfId="2" applyNumberFormat="1" applyFont="1" applyFill="1" applyBorder="1" applyAlignment="1">
      <alignment horizontal="center" vertical="center"/>
    </xf>
    <xf numFmtId="168" fontId="6" fillId="9" borderId="2" xfId="2" applyNumberFormat="1" applyFont="1" applyFill="1" applyBorder="1" applyAlignment="1">
      <alignment horizontal="center" vertical="center"/>
    </xf>
    <xf numFmtId="168" fontId="7" fillId="10" borderId="1" xfId="2" applyNumberFormat="1" applyFont="1" applyFill="1" applyBorder="1" applyAlignment="1">
      <alignment horizontal="center" vertical="center"/>
    </xf>
    <xf numFmtId="168" fontId="7" fillId="10" borderId="2" xfId="2" applyNumberFormat="1" applyFont="1" applyFill="1" applyBorder="1" applyAlignment="1">
      <alignment horizontal="center" vertical="center"/>
    </xf>
    <xf numFmtId="168" fontId="7" fillId="10" borderId="3" xfId="2" applyNumberFormat="1" applyFont="1" applyFill="1" applyBorder="1" applyAlignment="1">
      <alignment horizontal="center" vertical="center"/>
    </xf>
    <xf numFmtId="168" fontId="8" fillId="5" borderId="2" xfId="2" applyNumberFormat="1" applyFont="1" applyFill="1" applyBorder="1" applyAlignment="1">
      <alignment horizontal="center" vertical="center"/>
    </xf>
    <xf numFmtId="168" fontId="2" fillId="3" borderId="10" xfId="2" applyNumberFormat="1" applyFont="1" applyFill="1" applyBorder="1" applyAlignment="1">
      <alignment horizontal="center" vertical="center"/>
    </xf>
    <xf numFmtId="168" fontId="2" fillId="8" borderId="1" xfId="2" applyNumberFormat="1" applyFont="1" applyFill="1" applyBorder="1" applyAlignment="1">
      <alignment horizontal="center" vertical="center"/>
    </xf>
    <xf numFmtId="168" fontId="2" fillId="8" borderId="2" xfId="2" applyNumberFormat="1" applyFont="1" applyFill="1" applyBorder="1" applyAlignment="1">
      <alignment horizontal="center" vertical="center"/>
    </xf>
    <xf numFmtId="168" fontId="2" fillId="8" borderId="3" xfId="2" applyNumberFormat="1" applyFont="1" applyFill="1" applyBorder="1" applyAlignment="1">
      <alignment horizontal="center" vertical="center"/>
    </xf>
    <xf numFmtId="168" fontId="2" fillId="3" borderId="7" xfId="2" applyNumberFormat="1" applyFont="1" applyFill="1" applyBorder="1" applyAlignment="1">
      <alignment horizontal="center" vertical="center"/>
    </xf>
    <xf numFmtId="168" fontId="2" fillId="6" borderId="5" xfId="2" applyNumberFormat="1" applyFont="1" applyFill="1" applyBorder="1" applyAlignment="1">
      <alignment horizontal="center" vertical="center"/>
    </xf>
    <xf numFmtId="168" fontId="2" fillId="6" borderId="6" xfId="2" applyNumberFormat="1" applyFont="1" applyFill="1" applyBorder="1" applyAlignment="1">
      <alignment horizontal="center" vertical="center"/>
    </xf>
    <xf numFmtId="168" fontId="2" fillId="6" borderId="7" xfId="2" applyNumberFormat="1" applyFont="1" applyFill="1" applyBorder="1" applyAlignment="1">
      <alignment horizontal="center" vertical="center"/>
    </xf>
    <xf numFmtId="168" fontId="2" fillId="3" borderId="17" xfId="2" applyNumberFormat="1" applyFont="1" applyFill="1" applyBorder="1" applyAlignment="1">
      <alignment horizontal="center" vertical="center"/>
    </xf>
    <xf numFmtId="168" fontId="2" fillId="9" borderId="1" xfId="2" applyNumberFormat="1" applyFont="1" applyFill="1" applyBorder="1" applyAlignment="1">
      <alignment horizontal="center" vertical="center"/>
    </xf>
    <xf numFmtId="168" fontId="2" fillId="9" borderId="2" xfId="2" applyNumberFormat="1" applyFont="1" applyFill="1" applyBorder="1" applyAlignment="1">
      <alignment horizontal="center" vertical="center"/>
    </xf>
    <xf numFmtId="168" fontId="2" fillId="9" borderId="3" xfId="2" applyNumberFormat="1" applyFont="1" applyFill="1" applyBorder="1" applyAlignment="1">
      <alignment horizontal="center" vertical="center"/>
    </xf>
    <xf numFmtId="168" fontId="2" fillId="0" borderId="0" xfId="2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2" fillId="3" borderId="7" xfId="0" applyNumberFormat="1" applyFont="1" applyFill="1" applyBorder="1" applyAlignment="1">
      <alignment horizontal="center" vertical="center"/>
    </xf>
    <xf numFmtId="168" fontId="2" fillId="3" borderId="10" xfId="0" applyNumberFormat="1" applyFont="1" applyFill="1" applyBorder="1" applyAlignment="1">
      <alignment horizontal="center" vertical="center"/>
    </xf>
    <xf numFmtId="168" fontId="7" fillId="7" borderId="4" xfId="0" applyNumberFormat="1" applyFont="1" applyFill="1" applyBorder="1" applyAlignment="1">
      <alignment horizontal="center" vertical="center" wrapText="1"/>
    </xf>
    <xf numFmtId="168" fontId="6" fillId="4" borderId="5" xfId="2" applyNumberFormat="1" applyFont="1" applyFill="1" applyBorder="1" applyAlignment="1">
      <alignment horizontal="center" vertical="center"/>
    </xf>
    <xf numFmtId="168" fontId="6" fillId="4" borderId="6" xfId="2" applyNumberFormat="1" applyFont="1" applyFill="1" applyBorder="1" applyAlignment="1">
      <alignment horizontal="center" vertical="center"/>
    </xf>
    <xf numFmtId="168" fontId="6" fillId="4" borderId="7" xfId="2" applyNumberFormat="1" applyFont="1" applyFill="1" applyBorder="1" applyAlignment="1">
      <alignment horizontal="center" vertical="center"/>
    </xf>
    <xf numFmtId="168" fontId="6" fillId="4" borderId="8" xfId="2" applyNumberFormat="1" applyFont="1" applyFill="1" applyBorder="1" applyAlignment="1">
      <alignment horizontal="center" vertical="center"/>
    </xf>
    <xf numFmtId="168" fontId="6" fillId="4" borderId="0" xfId="2" applyNumberFormat="1" applyFont="1" applyFill="1" applyAlignment="1">
      <alignment horizontal="center" vertical="center"/>
    </xf>
    <xf numFmtId="168" fontId="6" fillId="4" borderId="10" xfId="2" applyNumberFormat="1" applyFont="1" applyFill="1" applyBorder="1" applyAlignment="1">
      <alignment horizontal="center" vertical="center"/>
    </xf>
    <xf numFmtId="168" fontId="6" fillId="4" borderId="15" xfId="2" applyNumberFormat="1" applyFont="1" applyFill="1" applyBorder="1" applyAlignment="1">
      <alignment horizontal="center" vertical="center"/>
    </xf>
    <xf numFmtId="168" fontId="6" fillId="4" borderId="16" xfId="2" applyNumberFormat="1" applyFont="1" applyFill="1" applyBorder="1" applyAlignment="1">
      <alignment horizontal="center" vertical="center"/>
    </xf>
    <xf numFmtId="168" fontId="6" fillId="4" borderId="17" xfId="2" applyNumberFormat="1" applyFont="1" applyFill="1" applyBorder="1" applyAlignment="1">
      <alignment horizontal="center" vertical="center"/>
    </xf>
    <xf numFmtId="168" fontId="6" fillId="11" borderId="5" xfId="2" applyNumberFormat="1" applyFont="1" applyFill="1" applyBorder="1" applyAlignment="1">
      <alignment horizontal="center" vertical="center"/>
    </xf>
    <xf numFmtId="168" fontId="6" fillId="11" borderId="8" xfId="2" applyNumberFormat="1" applyFont="1" applyFill="1" applyBorder="1" applyAlignment="1">
      <alignment horizontal="center" vertical="center"/>
    </xf>
    <xf numFmtId="168" fontId="6" fillId="6" borderId="1" xfId="2" applyNumberFormat="1" applyFont="1" applyFill="1" applyBorder="1" applyAlignment="1">
      <alignment horizontal="center" vertical="center"/>
    </xf>
    <xf numFmtId="168" fontId="6" fillId="11" borderId="15" xfId="2" applyNumberFormat="1" applyFont="1" applyFill="1" applyBorder="1" applyAlignment="1">
      <alignment horizontal="center" vertical="center"/>
    </xf>
    <xf numFmtId="168" fontId="6" fillId="16" borderId="1" xfId="2" applyNumberFormat="1" applyFont="1" applyFill="1" applyBorder="1" applyAlignment="1">
      <alignment horizontal="center" vertical="center"/>
    </xf>
    <xf numFmtId="168" fontId="6" fillId="16" borderId="2" xfId="2" applyNumberFormat="1" applyFont="1" applyFill="1" applyBorder="1" applyAlignment="1">
      <alignment horizontal="center" vertical="center"/>
    </xf>
    <xf numFmtId="168" fontId="6" fillId="16" borderId="3" xfId="2" applyNumberFormat="1" applyFont="1" applyFill="1" applyBorder="1" applyAlignment="1">
      <alignment horizontal="center" vertical="center"/>
    </xf>
    <xf numFmtId="168" fontId="6" fillId="11" borderId="5" xfId="0" applyNumberFormat="1" applyFont="1" applyFill="1" applyBorder="1" applyAlignment="1">
      <alignment horizontal="center" vertical="center"/>
    </xf>
    <xf numFmtId="168" fontId="6" fillId="4" borderId="6" xfId="0" applyNumberFormat="1" applyFont="1" applyFill="1" applyBorder="1" applyAlignment="1">
      <alignment horizontal="center" vertical="center"/>
    </xf>
    <xf numFmtId="168" fontId="6" fillId="4" borderId="7" xfId="0" applyNumberFormat="1" applyFont="1" applyFill="1" applyBorder="1" applyAlignment="1">
      <alignment horizontal="center" vertical="center"/>
    </xf>
    <xf numFmtId="168" fontId="6" fillId="11" borderId="8" xfId="0" applyNumberFormat="1" applyFont="1" applyFill="1" applyBorder="1" applyAlignment="1">
      <alignment horizontal="center" vertical="center"/>
    </xf>
    <xf numFmtId="168" fontId="6" fillId="4" borderId="0" xfId="0" applyNumberFormat="1" applyFont="1" applyFill="1" applyAlignment="1">
      <alignment horizontal="center" vertical="center"/>
    </xf>
    <xf numFmtId="168" fontId="6" fillId="4" borderId="10" xfId="0" applyNumberFormat="1" applyFont="1" applyFill="1" applyBorder="1" applyAlignment="1">
      <alignment horizontal="center" vertical="center"/>
    </xf>
    <xf numFmtId="168" fontId="7" fillId="6" borderId="1" xfId="2" applyNumberFormat="1" applyFont="1" applyFill="1" applyBorder="1" applyAlignment="1">
      <alignment horizontal="center" vertical="center"/>
    </xf>
    <xf numFmtId="168" fontId="7" fillId="6" borderId="5" xfId="2" applyNumberFormat="1" applyFont="1" applyFill="1" applyBorder="1" applyAlignment="1">
      <alignment horizontal="center" vertical="center"/>
    </xf>
    <xf numFmtId="168" fontId="7" fillId="6" borderId="6" xfId="2" applyNumberFormat="1" applyFont="1" applyFill="1" applyBorder="1" applyAlignment="1">
      <alignment horizontal="center" vertical="center"/>
    </xf>
    <xf numFmtId="168" fontId="7" fillId="6" borderId="7" xfId="2" applyNumberFormat="1" applyFont="1" applyFill="1" applyBorder="1" applyAlignment="1">
      <alignment horizontal="center" vertical="center"/>
    </xf>
    <xf numFmtId="9" fontId="7" fillId="17" borderId="2" xfId="2" applyFont="1" applyFill="1" applyBorder="1" applyAlignment="1">
      <alignment horizontal="center"/>
    </xf>
    <xf numFmtId="9" fontId="7" fillId="17" borderId="3" xfId="2" applyFont="1" applyFill="1" applyBorder="1" applyAlignment="1">
      <alignment horizontal="center"/>
    </xf>
    <xf numFmtId="0" fontId="7" fillId="15" borderId="1" xfId="0" applyFont="1" applyFill="1" applyBorder="1" applyAlignment="1">
      <alignment horizontal="right" vertical="center"/>
    </xf>
    <xf numFmtId="9" fontId="6" fillId="15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8" fontId="6" fillId="4" borderId="16" xfId="0" applyNumberFormat="1" applyFont="1" applyFill="1" applyBorder="1" applyAlignment="1">
      <alignment horizontal="center" vertical="center"/>
    </xf>
    <xf numFmtId="168" fontId="8" fillId="5" borderId="15" xfId="2" applyNumberFormat="1" applyFont="1" applyFill="1" applyBorder="1" applyAlignment="1">
      <alignment horizontal="center" vertical="center"/>
    </xf>
    <xf numFmtId="168" fontId="6" fillId="0" borderId="16" xfId="2" applyNumberFormat="1" applyFont="1" applyBorder="1" applyAlignment="1">
      <alignment horizontal="center" vertical="center"/>
    </xf>
    <xf numFmtId="168" fontId="6" fillId="4" borderId="17" xfId="0" applyNumberFormat="1" applyFont="1" applyFill="1" applyBorder="1" applyAlignment="1">
      <alignment horizontal="center" vertical="center"/>
    </xf>
    <xf numFmtId="168" fontId="8" fillId="5" borderId="16" xfId="2" applyNumberFormat="1" applyFont="1" applyFill="1" applyBorder="1" applyAlignment="1">
      <alignment horizontal="center" vertical="center"/>
    </xf>
    <xf numFmtId="168" fontId="8" fillId="5" borderId="17" xfId="2" applyNumberFormat="1" applyFont="1" applyFill="1" applyBorder="1" applyAlignment="1">
      <alignment horizontal="center" vertical="center"/>
    </xf>
    <xf numFmtId="9" fontId="7" fillId="12" borderId="3" xfId="0" applyNumberFormat="1" applyFont="1" applyFill="1" applyBorder="1" applyAlignment="1">
      <alignment horizontal="center" vertical="center"/>
    </xf>
    <xf numFmtId="9" fontId="6" fillId="4" borderId="9" xfId="0" applyNumberFormat="1" applyFont="1" applyFill="1" applyBorder="1" applyAlignment="1">
      <alignment horizontal="center" vertical="center"/>
    </xf>
    <xf numFmtId="9" fontId="6" fillId="4" borderId="12" xfId="0" applyNumberFormat="1" applyFont="1" applyFill="1" applyBorder="1" applyAlignment="1">
      <alignment horizontal="center" vertical="center"/>
    </xf>
    <xf numFmtId="9" fontId="6" fillId="4" borderId="14" xfId="0" applyNumberFormat="1" applyFont="1" applyFill="1" applyBorder="1" applyAlignment="1">
      <alignment horizontal="center" vertical="center"/>
    </xf>
    <xf numFmtId="9" fontId="6" fillId="15" borderId="11" xfId="2" applyFont="1" applyFill="1" applyBorder="1" applyAlignment="1">
      <alignment horizontal="center" vertical="center"/>
    </xf>
    <xf numFmtId="9" fontId="6" fillId="15" borderId="7" xfId="2" applyFont="1" applyFill="1" applyBorder="1" applyAlignment="1">
      <alignment horizontal="center" vertical="center"/>
    </xf>
    <xf numFmtId="9" fontId="6" fillId="15" borderId="13" xfId="2" applyFont="1" applyFill="1" applyBorder="1" applyAlignment="1">
      <alignment horizontal="center" vertical="center"/>
    </xf>
    <xf numFmtId="9" fontId="6" fillId="15" borderId="10" xfId="2" applyFont="1" applyFill="1" applyBorder="1" applyAlignment="1">
      <alignment horizontal="center" vertical="center"/>
    </xf>
    <xf numFmtId="9" fontId="6" fillId="15" borderId="18" xfId="2" applyFont="1" applyFill="1" applyBorder="1" applyAlignment="1">
      <alignment horizontal="center" vertical="center"/>
    </xf>
    <xf numFmtId="9" fontId="6" fillId="15" borderId="17" xfId="2" applyFont="1" applyFill="1" applyBorder="1" applyAlignment="1">
      <alignment horizontal="center" vertical="center"/>
    </xf>
    <xf numFmtId="9" fontId="6" fillId="15" borderId="6" xfId="2" applyFont="1" applyFill="1" applyBorder="1" applyAlignment="1">
      <alignment horizontal="center" vertical="center"/>
    </xf>
    <xf numFmtId="9" fontId="6" fillId="15" borderId="0" xfId="2" applyFont="1" applyFill="1" applyAlignment="1">
      <alignment horizontal="center" vertical="center"/>
    </xf>
    <xf numFmtId="9" fontId="6" fillId="15" borderId="16" xfId="2" applyFont="1" applyFill="1" applyBorder="1" applyAlignment="1">
      <alignment horizontal="center" vertical="center"/>
    </xf>
    <xf numFmtId="9" fontId="6" fillId="15" borderId="6" xfId="0" applyNumberFormat="1" applyFont="1" applyFill="1" applyBorder="1" applyAlignment="1">
      <alignment horizontal="center" vertical="center"/>
    </xf>
    <xf numFmtId="9" fontId="6" fillId="15" borderId="7" xfId="0" applyNumberFormat="1" applyFont="1" applyFill="1" applyBorder="1" applyAlignment="1">
      <alignment horizontal="center" vertical="center"/>
    </xf>
    <xf numFmtId="9" fontId="6" fillId="15" borderId="10" xfId="0" applyNumberFormat="1" applyFont="1" applyFill="1" applyBorder="1" applyAlignment="1">
      <alignment horizontal="center" vertical="center"/>
    </xf>
    <xf numFmtId="168" fontId="6" fillId="13" borderId="9" xfId="2" applyNumberFormat="1" applyFont="1" applyFill="1" applyBorder="1" applyAlignment="1">
      <alignment horizontal="center" vertical="center"/>
    </xf>
    <xf numFmtId="168" fontId="6" fillId="13" borderId="12" xfId="2" applyNumberFormat="1" applyFont="1" applyFill="1" applyBorder="1" applyAlignment="1">
      <alignment horizontal="center" vertical="center"/>
    </xf>
    <xf numFmtId="168" fontId="6" fillId="13" borderId="14" xfId="2" applyNumberFormat="1" applyFont="1" applyFill="1" applyBorder="1" applyAlignment="1">
      <alignment horizontal="center" vertical="center"/>
    </xf>
    <xf numFmtId="168" fontId="6" fillId="13" borderId="7" xfId="2" applyNumberFormat="1" applyFont="1" applyFill="1" applyBorder="1" applyAlignment="1">
      <alignment horizontal="center" vertical="center"/>
    </xf>
    <xf numFmtId="168" fontId="6" fillId="13" borderId="10" xfId="2" applyNumberFormat="1" applyFont="1" applyFill="1" applyBorder="1" applyAlignment="1">
      <alignment horizontal="center" vertical="center"/>
    </xf>
    <xf numFmtId="168" fontId="6" fillId="13" borderId="17" xfId="2" applyNumberFormat="1" applyFont="1" applyFill="1" applyBorder="1" applyAlignment="1">
      <alignment horizontal="center" vertical="center"/>
    </xf>
    <xf numFmtId="167" fontId="6" fillId="18" borderId="5" xfId="1" applyNumberFormat="1" applyFont="1" applyFill="1" applyBorder="1" applyAlignment="1">
      <alignment horizontal="center" vertical="center"/>
    </xf>
    <xf numFmtId="167" fontId="6" fillId="18" borderId="8" xfId="1" applyNumberFormat="1" applyFont="1" applyFill="1" applyBorder="1" applyAlignment="1">
      <alignment horizontal="center" vertical="center"/>
    </xf>
    <xf numFmtId="167" fontId="6" fillId="18" borderId="15" xfId="1" applyNumberFormat="1" applyFont="1" applyFill="1" applyBorder="1" applyAlignment="1">
      <alignment horizontal="center" vertical="center"/>
    </xf>
    <xf numFmtId="167" fontId="6" fillId="18" borderId="5" xfId="0" applyNumberFormat="1" applyFont="1" applyFill="1" applyBorder="1" applyAlignment="1">
      <alignment horizontal="center" vertical="center"/>
    </xf>
    <xf numFmtId="167" fontId="6" fillId="18" borderId="8" xfId="0" applyNumberFormat="1" applyFont="1" applyFill="1" applyBorder="1" applyAlignment="1">
      <alignment horizontal="center" vertical="center"/>
    </xf>
    <xf numFmtId="167" fontId="6" fillId="18" borderId="15" xfId="0" applyNumberFormat="1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68" fontId="6" fillId="19" borderId="5" xfId="36" applyNumberFormat="1" applyFont="1" applyFill="1" applyBorder="1" applyAlignment="1">
      <alignment horizontal="center" vertical="center"/>
    </xf>
    <xf numFmtId="168" fontId="6" fillId="19" borderId="8" xfId="36" applyNumberFormat="1" applyFont="1" applyFill="1" applyBorder="1" applyAlignment="1">
      <alignment horizontal="center" vertical="center"/>
    </xf>
    <xf numFmtId="168" fontId="6" fillId="19" borderId="15" xfId="36" applyNumberFormat="1" applyFont="1" applyFill="1" applyBorder="1" applyAlignment="1">
      <alignment horizontal="center" vertical="center"/>
    </xf>
    <xf numFmtId="168" fontId="6" fillId="19" borderId="5" xfId="0" applyNumberFormat="1" applyFont="1" applyFill="1" applyBorder="1" applyAlignment="1">
      <alignment horizontal="center" vertical="center"/>
    </xf>
    <xf numFmtId="168" fontId="6" fillId="19" borderId="8" xfId="0" applyNumberFormat="1" applyFont="1" applyFill="1" applyBorder="1" applyAlignment="1">
      <alignment horizontal="center" vertical="center"/>
    </xf>
    <xf numFmtId="168" fontId="6" fillId="19" borderId="15" xfId="0" applyNumberFormat="1" applyFont="1" applyFill="1" applyBorder="1" applyAlignment="1">
      <alignment horizontal="center" vertical="center"/>
    </xf>
    <xf numFmtId="168" fontId="2" fillId="18" borderId="5" xfId="2" applyNumberFormat="1" applyFont="1" applyFill="1" applyBorder="1" applyAlignment="1">
      <alignment horizontal="center" vertical="center"/>
    </xf>
    <xf numFmtId="168" fontId="2" fillId="18" borderId="8" xfId="2" applyNumberFormat="1" applyFont="1" applyFill="1" applyBorder="1" applyAlignment="1">
      <alignment horizontal="center" vertical="center"/>
    </xf>
    <xf numFmtId="168" fontId="2" fillId="18" borderId="15" xfId="2" applyNumberFormat="1" applyFont="1" applyFill="1" applyBorder="1" applyAlignment="1">
      <alignment horizontal="center" vertical="center"/>
    </xf>
    <xf numFmtId="168" fontId="2" fillId="18" borderId="5" xfId="0" applyNumberFormat="1" applyFont="1" applyFill="1" applyBorder="1" applyAlignment="1">
      <alignment horizontal="center" vertical="center"/>
    </xf>
    <xf numFmtId="168" fontId="2" fillId="18" borderId="8" xfId="0" applyNumberFormat="1" applyFont="1" applyFill="1" applyBorder="1" applyAlignment="1">
      <alignment horizontal="center" vertical="center"/>
    </xf>
    <xf numFmtId="167" fontId="6" fillId="19" borderId="9" xfId="1" applyNumberFormat="1" applyFont="1" applyFill="1" applyBorder="1" applyAlignment="1">
      <alignment horizontal="center" vertical="center"/>
    </xf>
    <xf numFmtId="167" fontId="6" fillId="19" borderId="12" xfId="2" applyNumberFormat="1" applyFont="1" applyFill="1" applyBorder="1" applyAlignment="1">
      <alignment horizontal="center" vertical="center"/>
    </xf>
    <xf numFmtId="167" fontId="6" fillId="19" borderId="9" xfId="2" applyNumberFormat="1" applyFont="1" applyFill="1" applyBorder="1" applyAlignment="1">
      <alignment horizontal="center" vertical="center"/>
    </xf>
    <xf numFmtId="167" fontId="6" fillId="19" borderId="14" xfId="2" applyNumberFormat="1" applyFont="1" applyFill="1" applyBorder="1" applyAlignment="1">
      <alignment horizontal="center" vertical="center"/>
    </xf>
    <xf numFmtId="167" fontId="6" fillId="19" borderId="5" xfId="0" applyNumberFormat="1" applyFont="1" applyFill="1" applyBorder="1" applyAlignment="1">
      <alignment horizontal="center" vertical="center"/>
    </xf>
    <xf numFmtId="167" fontId="6" fillId="19" borderId="8" xfId="0" applyNumberFormat="1" applyFont="1" applyFill="1" applyBorder="1" applyAlignment="1">
      <alignment horizontal="center" vertical="center"/>
    </xf>
    <xf numFmtId="167" fontId="6" fillId="19" borderId="9" xfId="36" applyNumberFormat="1" applyFont="1" applyFill="1" applyBorder="1" applyAlignment="1">
      <alignment horizontal="center" vertical="center"/>
    </xf>
    <xf numFmtId="167" fontId="6" fillId="19" borderId="12" xfId="36" applyNumberFormat="1" applyFont="1" applyFill="1" applyBorder="1" applyAlignment="1">
      <alignment horizontal="center" vertical="center"/>
    </xf>
    <xf numFmtId="167" fontId="6" fillId="19" borderId="14" xfId="36" applyNumberFormat="1" applyFont="1" applyFill="1" applyBorder="1" applyAlignment="1">
      <alignment horizontal="center" vertical="center"/>
    </xf>
    <xf numFmtId="167" fontId="6" fillId="19" borderId="7" xfId="36" applyNumberFormat="1" applyFont="1" applyFill="1" applyBorder="1" applyAlignment="1">
      <alignment horizontal="center" vertical="center"/>
    </xf>
    <xf numFmtId="167" fontId="6" fillId="19" borderId="10" xfId="36" applyNumberFormat="1" applyFont="1" applyFill="1" applyBorder="1" applyAlignment="1">
      <alignment horizontal="center" vertical="center"/>
    </xf>
    <xf numFmtId="167" fontId="6" fillId="19" borderId="17" xfId="36" applyNumberFormat="1" applyFont="1" applyFill="1" applyBorder="1" applyAlignment="1">
      <alignment horizontal="center" vertical="center"/>
    </xf>
    <xf numFmtId="167" fontId="6" fillId="19" borderId="7" xfId="0" applyNumberFormat="1" applyFont="1" applyFill="1" applyBorder="1" applyAlignment="1">
      <alignment horizontal="center" vertical="center"/>
    </xf>
    <xf numFmtId="167" fontId="6" fillId="19" borderId="10" xfId="0" applyNumberFormat="1" applyFont="1" applyFill="1" applyBorder="1" applyAlignment="1">
      <alignment horizontal="center" vertical="center"/>
    </xf>
    <xf numFmtId="168" fontId="2" fillId="13" borderId="6" xfId="2" applyNumberFormat="1" applyFont="1" applyFill="1" applyBorder="1" applyAlignment="1">
      <alignment horizontal="center" vertical="center"/>
    </xf>
    <xf numFmtId="168" fontId="2" fillId="13" borderId="0" xfId="2" applyNumberFormat="1" applyFont="1" applyFill="1" applyAlignment="1">
      <alignment horizontal="center" vertical="center"/>
    </xf>
    <xf numFmtId="168" fontId="2" fillId="13" borderId="16" xfId="2" applyNumberFormat="1" applyFont="1" applyFill="1" applyBorder="1" applyAlignment="1">
      <alignment horizontal="center" vertical="center"/>
    </xf>
    <xf numFmtId="168" fontId="2" fillId="13" borderId="6" xfId="0" applyNumberFormat="1" applyFont="1" applyFill="1" applyBorder="1" applyAlignment="1">
      <alignment horizontal="center" vertical="center"/>
    </xf>
    <xf numFmtId="168" fontId="2" fillId="13" borderId="0" xfId="0" applyNumberFormat="1" applyFont="1" applyFill="1" applyAlignment="1">
      <alignment horizontal="center" vertical="center"/>
    </xf>
    <xf numFmtId="167" fontId="0" fillId="4" borderId="12" xfId="2" applyNumberFormat="1" applyFont="1" applyFill="1" applyBorder="1" applyAlignment="1">
      <alignment horizontal="center" vertical="center"/>
    </xf>
    <xf numFmtId="167" fontId="0" fillId="11" borderId="9" xfId="0" applyNumberFormat="1" applyFill="1" applyBorder="1"/>
    <xf numFmtId="167" fontId="6" fillId="19" borderId="9" xfId="0" applyNumberFormat="1" applyFont="1" applyFill="1" applyBorder="1" applyAlignment="1">
      <alignment horizontal="center" vertical="center"/>
    </xf>
    <xf numFmtId="167" fontId="6" fillId="19" borderId="12" xfId="0" applyNumberFormat="1" applyFont="1" applyFill="1" applyBorder="1" applyAlignment="1">
      <alignment horizontal="center" vertical="center"/>
    </xf>
    <xf numFmtId="173" fontId="7" fillId="6" borderId="1" xfId="36" applyNumberFormat="1" applyFont="1" applyFill="1" applyBorder="1" applyAlignment="1">
      <alignment horizontal="center" vertical="center"/>
    </xf>
    <xf numFmtId="173" fontId="7" fillId="6" borderId="2" xfId="36" applyNumberFormat="1" applyFont="1" applyFill="1" applyBorder="1" applyAlignment="1">
      <alignment horizontal="center" vertical="center"/>
    </xf>
    <xf numFmtId="173" fontId="7" fillId="6" borderId="3" xfId="36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7" fontId="6" fillId="4" borderId="4" xfId="36" applyNumberFormat="1" applyFont="1" applyFill="1" applyBorder="1" applyAlignment="1">
      <alignment horizontal="center" vertical="center"/>
    </xf>
    <xf numFmtId="9" fontId="6" fillId="4" borderId="4" xfId="2" applyFont="1" applyFill="1" applyBorder="1" applyAlignment="1">
      <alignment horizontal="center" vertical="center"/>
    </xf>
    <xf numFmtId="167" fontId="6" fillId="0" borderId="16" xfId="1" applyNumberFormat="1" applyFont="1" applyBorder="1" applyAlignment="1">
      <alignment horizontal="center" vertical="center"/>
    </xf>
    <xf numFmtId="167" fontId="6" fillId="11" borderId="1" xfId="1" applyNumberFormat="1" applyFont="1" applyFill="1" applyBorder="1" applyAlignment="1">
      <alignment horizontal="center" vertical="center"/>
    </xf>
    <xf numFmtId="167" fontId="6" fillId="4" borderId="2" xfId="1" applyNumberFormat="1" applyFont="1" applyFill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center" vertical="center"/>
    </xf>
    <xf numFmtId="167" fontId="6" fillId="18" borderId="1" xfId="1" applyNumberFormat="1" applyFont="1" applyFill="1" applyBorder="1" applyAlignment="1">
      <alignment horizontal="center" vertical="center"/>
    </xf>
    <xf numFmtId="167" fontId="6" fillId="0" borderId="3" xfId="1" applyNumberFormat="1" applyFont="1" applyBorder="1" applyAlignment="1">
      <alignment horizontal="center" vertical="center"/>
    </xf>
    <xf numFmtId="9" fontId="6" fillId="0" borderId="3" xfId="2" applyFont="1" applyBorder="1" applyAlignment="1">
      <alignment horizontal="center" vertical="center"/>
    </xf>
    <xf numFmtId="168" fontId="6" fillId="3" borderId="3" xfId="2" applyNumberFormat="1" applyFont="1" applyFill="1" applyBorder="1" applyAlignment="1">
      <alignment horizontal="center" vertical="center"/>
    </xf>
    <xf numFmtId="168" fontId="6" fillId="4" borderId="1" xfId="2" applyNumberFormat="1" applyFont="1" applyFill="1" applyBorder="1" applyAlignment="1">
      <alignment horizontal="center" vertical="center"/>
    </xf>
    <xf numFmtId="168" fontId="6" fillId="4" borderId="2" xfId="2" applyNumberFormat="1" applyFont="1" applyFill="1" applyBorder="1" applyAlignment="1">
      <alignment horizontal="center" vertical="center"/>
    </xf>
    <xf numFmtId="168" fontId="6" fillId="4" borderId="3" xfId="2" applyNumberFormat="1" applyFont="1" applyFill="1" applyBorder="1" applyAlignment="1">
      <alignment horizontal="center" vertical="center"/>
    </xf>
    <xf numFmtId="168" fontId="6" fillId="19" borderId="1" xfId="36" applyNumberFormat="1" applyFont="1" applyFill="1" applyBorder="1" applyAlignment="1">
      <alignment horizontal="center" vertical="center"/>
    </xf>
    <xf numFmtId="168" fontId="6" fillId="4" borderId="2" xfId="36" applyNumberFormat="1" applyFont="1" applyFill="1" applyBorder="1" applyAlignment="1">
      <alignment horizontal="center" vertical="center"/>
    </xf>
    <xf numFmtId="9" fontId="6" fillId="3" borderId="19" xfId="2" applyFont="1" applyFill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168" fontId="2" fillId="18" borderId="1" xfId="2" applyNumberFormat="1" applyFont="1" applyFill="1" applyBorder="1" applyAlignment="1">
      <alignment horizontal="center" vertical="center"/>
    </xf>
    <xf numFmtId="168" fontId="2" fillId="13" borderId="2" xfId="2" applyNumberFormat="1" applyFont="1" applyFill="1" applyBorder="1" applyAlignment="1">
      <alignment horizontal="center" vertical="center"/>
    </xf>
    <xf numFmtId="168" fontId="2" fillId="3" borderId="3" xfId="2" applyNumberFormat="1" applyFont="1" applyFill="1" applyBorder="1" applyAlignment="1">
      <alignment horizontal="center" vertical="center"/>
    </xf>
    <xf numFmtId="168" fontId="6" fillId="11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9" fontId="6" fillId="4" borderId="1" xfId="36" applyNumberFormat="1" applyFont="1" applyFill="1" applyBorder="1" applyAlignment="1">
      <alignment horizontal="center" vertical="center"/>
    </xf>
    <xf numFmtId="167" fontId="6" fillId="4" borderId="2" xfId="36" applyNumberFormat="1" applyFont="1" applyFill="1" applyBorder="1" applyAlignment="1">
      <alignment horizontal="center" vertical="center"/>
    </xf>
    <xf numFmtId="9" fontId="6" fillId="15" borderId="19" xfId="2" applyFont="1" applyFill="1" applyBorder="1" applyAlignment="1">
      <alignment horizontal="center" vertical="center"/>
    </xf>
    <xf numFmtId="9" fontId="6" fillId="15" borderId="3" xfId="2" applyFont="1" applyFill="1" applyBorder="1" applyAlignment="1">
      <alignment horizontal="center" vertical="center"/>
    </xf>
    <xf numFmtId="169" fontId="6" fillId="4" borderId="2" xfId="36" applyNumberFormat="1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/>
    </xf>
    <xf numFmtId="9" fontId="6" fillId="4" borderId="3" xfId="2" applyFont="1" applyFill="1" applyBorder="1" applyAlignment="1">
      <alignment horizontal="center" vertical="center"/>
    </xf>
    <xf numFmtId="167" fontId="6" fillId="4" borderId="1" xfId="1" applyNumberFormat="1" applyFont="1" applyFill="1" applyBorder="1" applyAlignment="1">
      <alignment horizontal="center" vertical="center"/>
    </xf>
    <xf numFmtId="167" fontId="6" fillId="4" borderId="1" xfId="36" applyNumberFormat="1" applyFont="1" applyFill="1" applyBorder="1" applyAlignment="1">
      <alignment horizontal="center" vertical="center"/>
    </xf>
    <xf numFmtId="167" fontId="6" fillId="4" borderId="3" xfId="36" applyNumberFormat="1" applyFont="1" applyFill="1" applyBorder="1" applyAlignment="1">
      <alignment horizontal="center" vertical="center"/>
    </xf>
    <xf numFmtId="167" fontId="6" fillId="19" borderId="4" xfId="2" applyNumberFormat="1" applyFont="1" applyFill="1" applyBorder="1" applyAlignment="1">
      <alignment horizontal="center" vertical="center"/>
    </xf>
    <xf numFmtId="167" fontId="6" fillId="4" borderId="4" xfId="2" applyNumberFormat="1" applyFont="1" applyFill="1" applyBorder="1" applyAlignment="1">
      <alignment horizontal="center" vertical="center"/>
    </xf>
    <xf numFmtId="167" fontId="6" fillId="3" borderId="4" xfId="2" applyNumberFormat="1" applyFont="1" applyFill="1" applyBorder="1" applyAlignment="1">
      <alignment horizontal="center" vertical="center"/>
    </xf>
    <xf numFmtId="167" fontId="6" fillId="19" borderId="4" xfId="36" applyNumberFormat="1" applyFont="1" applyFill="1" applyBorder="1" applyAlignment="1">
      <alignment horizontal="center" vertical="center"/>
    </xf>
    <xf numFmtId="167" fontId="6" fillId="19" borderId="3" xfId="36" applyNumberFormat="1" applyFont="1" applyFill="1" applyBorder="1" applyAlignment="1">
      <alignment horizontal="center" vertical="center"/>
    </xf>
    <xf numFmtId="9" fontId="6" fillId="4" borderId="1" xfId="36" applyNumberFormat="1" applyFont="1" applyFill="1" applyBorder="1" applyAlignment="1">
      <alignment horizontal="center" vertical="center"/>
    </xf>
    <xf numFmtId="172" fontId="6" fillId="4" borderId="2" xfId="36" applyNumberFormat="1" applyFont="1" applyFill="1" applyBorder="1" applyAlignment="1">
      <alignment horizontal="center" vertical="center"/>
    </xf>
    <xf numFmtId="171" fontId="6" fillId="4" borderId="3" xfId="36" applyNumberFormat="1" applyFont="1" applyFill="1" applyBorder="1" applyAlignment="1">
      <alignment horizontal="center" vertical="center"/>
    </xf>
    <xf numFmtId="9" fontId="6" fillId="13" borderId="1" xfId="36" applyNumberFormat="1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9" fontId="4" fillId="20" borderId="0" xfId="2" applyFill="1"/>
    <xf numFmtId="0" fontId="7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68" fontId="4" fillId="0" borderId="0" xfId="2" applyNumberFormat="1"/>
    <xf numFmtId="0" fontId="7" fillId="21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38">
    <cellStyle name="Excel Built-in Comma [0]" xfId="36" xr:uid="{00000000-0005-0000-0000-000027000000}"/>
    <cellStyle name="Millares" xfId="1" builtinId="3"/>
    <cellStyle name="Millares [0]" xfId="37" builtinId="6"/>
    <cellStyle name="Millares [0] 2" xfId="20" xr:uid="{00000000-0005-0000-0000-000017000000}"/>
    <cellStyle name="Millares [0] 2 2" xfId="21" xr:uid="{00000000-0005-0000-0000-000018000000}"/>
    <cellStyle name="Millares [0] 3" xfId="22" xr:uid="{00000000-0005-0000-0000-000019000000}"/>
    <cellStyle name="Millares 10" xfId="3" xr:uid="{00000000-0005-0000-0000-000006000000}"/>
    <cellStyle name="Millares 11" xfId="4" xr:uid="{00000000-0005-0000-0000-000007000000}"/>
    <cellStyle name="Millares 12" xfId="5" xr:uid="{00000000-0005-0000-0000-000008000000}"/>
    <cellStyle name="Millares 13" xfId="6" xr:uid="{00000000-0005-0000-0000-000009000000}"/>
    <cellStyle name="Millares 2" xfId="7" xr:uid="{00000000-0005-0000-0000-00000A000000}"/>
    <cellStyle name="Millares 2 2" xfId="8" xr:uid="{00000000-0005-0000-0000-00000B000000}"/>
    <cellStyle name="Millares 3" xfId="9" xr:uid="{00000000-0005-0000-0000-00000C000000}"/>
    <cellStyle name="Millares 3 2" xfId="10" xr:uid="{00000000-0005-0000-0000-00000D000000}"/>
    <cellStyle name="Millares 4" xfId="11" xr:uid="{00000000-0005-0000-0000-00000E000000}"/>
    <cellStyle name="Millares 4 2" xfId="12" xr:uid="{00000000-0005-0000-0000-00000F000000}"/>
    <cellStyle name="Millares 5" xfId="13" xr:uid="{00000000-0005-0000-0000-000010000000}"/>
    <cellStyle name="Millares 5 2" xfId="14" xr:uid="{00000000-0005-0000-0000-000011000000}"/>
    <cellStyle name="Millares 6" xfId="15" xr:uid="{00000000-0005-0000-0000-000012000000}"/>
    <cellStyle name="Millares 6 2" xfId="16" xr:uid="{00000000-0005-0000-0000-000013000000}"/>
    <cellStyle name="Millares 7" xfId="17" xr:uid="{00000000-0005-0000-0000-000014000000}"/>
    <cellStyle name="Millares 8" xfId="18" xr:uid="{00000000-0005-0000-0000-000015000000}"/>
    <cellStyle name="Millares 9" xfId="19" xr:uid="{00000000-0005-0000-0000-000016000000}"/>
    <cellStyle name="Normal" xfId="0" builtinId="0"/>
    <cellStyle name="Normal 2" xfId="23" xr:uid="{00000000-0005-0000-0000-00001A000000}"/>
    <cellStyle name="Normal 2 2" xfId="24" xr:uid="{00000000-0005-0000-0000-00001B000000}"/>
    <cellStyle name="Normal 3" xfId="25" xr:uid="{00000000-0005-0000-0000-00001C000000}"/>
    <cellStyle name="Normal 3 2" xfId="26" xr:uid="{00000000-0005-0000-0000-00001D000000}"/>
    <cellStyle name="Normal 4" xfId="27" xr:uid="{00000000-0005-0000-0000-00001E000000}"/>
    <cellStyle name="Normal 4 2" xfId="28" xr:uid="{00000000-0005-0000-0000-00001F000000}"/>
    <cellStyle name="Normal 4 2 2" xfId="29" xr:uid="{00000000-0005-0000-0000-000020000000}"/>
    <cellStyle name="Normal 4 3" xfId="30" xr:uid="{00000000-0005-0000-0000-000021000000}"/>
    <cellStyle name="Normale 3" xfId="31" xr:uid="{00000000-0005-0000-0000-000022000000}"/>
    <cellStyle name="Normale 3 2" xfId="32" xr:uid="{00000000-0005-0000-0000-000023000000}"/>
    <cellStyle name="Porcentaje" xfId="2" builtinId="5"/>
    <cellStyle name="Porcentaje 2" xfId="33" xr:uid="{00000000-0005-0000-0000-000024000000}"/>
    <cellStyle name="Porcentaje 2 2" xfId="34" xr:uid="{00000000-0005-0000-0000-000025000000}"/>
    <cellStyle name="Porcentaje 3" xfId="35" xr:uid="{00000000-0005-0000-0000-00002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0"/>
      <rgbColor rgb="FFDDEB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6E4F0"/>
      <rgbColor rgb="FFF2F2F2"/>
      <rgbColor rgb="FFD9D9D9"/>
      <rgbColor rgb="FFE8E8E8"/>
      <rgbColor rgb="FFCC99FF"/>
      <rgbColor rgb="FFFBE3D6"/>
      <rgbColor rgb="FF2E75B6"/>
      <rgbColor rgb="FF33CCCC"/>
      <rgbColor rgb="FF99CC00"/>
      <rgbColor rgb="FFFFC0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1:CQ204"/>
  <sheetViews>
    <sheetView showGridLines="0" tabSelected="1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7" sqref="F7"/>
    </sheetView>
  </sheetViews>
  <sheetFormatPr baseColWidth="10" defaultColWidth="8.7109375" defaultRowHeight="15" outlineLevelRow="1" x14ac:dyDescent="0.25"/>
  <cols>
    <col min="1" max="1" width="42.42578125" style="2" customWidth="1"/>
    <col min="2" max="2" width="12.28515625" style="2" bestFit="1" customWidth="1"/>
    <col min="3" max="3" width="21.28515625" style="2" bestFit="1" customWidth="1"/>
    <col min="4" max="4" width="14.28515625" style="2" bestFit="1" customWidth="1"/>
    <col min="5" max="5" width="29" style="2" bestFit="1" customWidth="1"/>
    <col min="6" max="8" width="13.140625" style="2" customWidth="1"/>
    <col min="9" max="9" width="16.7109375" style="2" hidden="1" customWidth="1"/>
    <col min="10" max="10" width="12.42578125" style="2" hidden="1" customWidth="1"/>
    <col min="11" max="11" width="8.5703125" style="2" customWidth="1"/>
    <col min="12" max="12" width="9.5703125" style="2" customWidth="1"/>
    <col min="13" max="13" width="11.42578125" style="2" customWidth="1"/>
    <col min="14" max="15" width="10.28515625" style="2" customWidth="1"/>
    <col min="16" max="16" width="2.28515625" style="2" customWidth="1"/>
    <col min="17" max="17" width="8.85546875" style="2" customWidth="1"/>
    <col min="18" max="21" width="8.42578125" style="2" customWidth="1"/>
    <col min="22" max="22" width="2.28515625" style="2" customWidth="1"/>
    <col min="23" max="23" width="8.5703125" style="2" customWidth="1"/>
    <col min="24" max="24" width="9" style="2" customWidth="1"/>
    <col min="25" max="25" width="10.28515625" style="2" customWidth="1"/>
    <col min="26" max="26" width="2.28515625" style="2" customWidth="1"/>
    <col min="27" max="29" width="9" style="2" customWidth="1"/>
    <col min="30" max="30" width="2.28515625" style="2" customWidth="1"/>
    <col min="31" max="33" width="11.7109375" style="2" customWidth="1"/>
    <col min="34" max="35" width="9.5703125" style="2" customWidth="1"/>
    <col min="36" max="36" width="2.28515625" style="2" customWidth="1"/>
    <col min="37" max="39" width="11.7109375" style="2" customWidth="1"/>
    <col min="40" max="41" width="9.5703125" style="2" customWidth="1"/>
    <col min="42" max="42" width="2.28515625" style="2" customWidth="1"/>
    <col min="43" max="46" width="12.7109375" style="2" customWidth="1"/>
    <col min="47" max="47" width="13" style="2" customWidth="1"/>
    <col min="48" max="48" width="2.28515625" style="2" customWidth="1"/>
    <col min="49" max="49" width="12.7109375" style="2" customWidth="1"/>
    <col min="50" max="50" width="12.85546875" style="2" customWidth="1"/>
    <col min="51" max="51" width="13.140625" style="2" customWidth="1"/>
    <col min="52" max="52" width="2.28515625" style="2" customWidth="1"/>
    <col min="53" max="53" width="12.7109375" style="2" customWidth="1"/>
    <col min="54" max="54" width="12.85546875" style="2" customWidth="1"/>
    <col min="55" max="55" width="13.140625" style="2" customWidth="1"/>
    <col min="56" max="56" width="2.28515625" style="2" customWidth="1"/>
    <col min="57" max="59" width="12.7109375" style="2" customWidth="1"/>
    <col min="60" max="60" width="2.28515625" style="2" customWidth="1"/>
    <col min="61" max="63" width="12.7109375" style="2" customWidth="1"/>
    <col min="64" max="64" width="2.28515625" style="2" customWidth="1"/>
    <col min="65" max="65" width="10.7109375" style="2" customWidth="1"/>
    <col min="66" max="68" width="12.7109375" style="2" customWidth="1"/>
    <col min="69" max="69" width="13" style="2" customWidth="1"/>
    <col min="70" max="70" width="8.5703125" style="2" customWidth="1"/>
    <col min="71" max="71" width="8.85546875" style="2" customWidth="1"/>
    <col min="72" max="72" width="7.7109375" style="2" customWidth="1"/>
    <col min="73" max="73" width="2.28515625" style="2" customWidth="1"/>
    <col min="74" max="74" width="11.7109375" style="2" customWidth="1"/>
    <col min="75" max="75" width="13.7109375" style="2" customWidth="1"/>
    <col min="76" max="82" width="15.5703125" style="2" customWidth="1"/>
    <col min="83" max="83" width="2.28515625" style="2" customWidth="1"/>
    <col min="84" max="84" width="14.42578125" style="2" customWidth="1"/>
    <col min="85" max="85" width="15.85546875" style="2" customWidth="1"/>
    <col min="86" max="86" width="17.140625" style="2" customWidth="1"/>
    <col min="87" max="87" width="14.42578125" style="2" customWidth="1"/>
    <col min="88" max="88" width="15.85546875" style="2" customWidth="1"/>
    <col min="89" max="89" width="11.140625" style="2" customWidth="1"/>
    <col min="90" max="90" width="2.28515625" style="2" customWidth="1"/>
    <col min="91" max="92" width="8.85546875" style="2" customWidth="1"/>
    <col min="93" max="93" width="7.7109375" style="2" customWidth="1"/>
    <col min="94" max="16384" width="8.7109375" style="2"/>
  </cols>
  <sheetData>
    <row r="1" spans="1:94" ht="15" customHeight="1" x14ac:dyDescent="0.25">
      <c r="B1" s="547"/>
      <c r="C1" s="547"/>
      <c r="D1" s="547"/>
      <c r="E1" s="547"/>
      <c r="F1" s="494" t="s">
        <v>146</v>
      </c>
      <c r="G1" s="494" t="s">
        <v>146</v>
      </c>
      <c r="H1" s="494" t="s">
        <v>146</v>
      </c>
      <c r="L1" s="3"/>
      <c r="N1" s="3"/>
      <c r="O1" s="553">
        <v>0.64300000000000002</v>
      </c>
      <c r="W1" s="1"/>
      <c r="AE1" s="494" t="s">
        <v>146</v>
      </c>
      <c r="AF1" s="494" t="s">
        <v>146</v>
      </c>
      <c r="AG1" s="494" t="s">
        <v>146</v>
      </c>
      <c r="AK1" s="494" t="s">
        <v>146</v>
      </c>
      <c r="AL1" s="494" t="s">
        <v>146</v>
      </c>
      <c r="AM1" s="494" t="s">
        <v>146</v>
      </c>
      <c r="AQ1" s="494" t="s">
        <v>146</v>
      </c>
      <c r="AR1" s="494" t="s">
        <v>146</v>
      </c>
      <c r="AS1" s="494" t="s">
        <v>146</v>
      </c>
      <c r="AW1" s="494" t="s">
        <v>146</v>
      </c>
      <c r="AX1" s="494" t="s">
        <v>146</v>
      </c>
      <c r="AY1" s="494" t="s">
        <v>146</v>
      </c>
      <c r="BA1" s="494" t="s">
        <v>146</v>
      </c>
      <c r="BB1" s="494" t="s">
        <v>146</v>
      </c>
      <c r="BC1" s="494" t="s">
        <v>146</v>
      </c>
      <c r="BE1" s="494" t="s">
        <v>146</v>
      </c>
      <c r="BF1" s="494" t="s">
        <v>146</v>
      </c>
      <c r="BG1" s="494" t="s">
        <v>146</v>
      </c>
      <c r="BI1" s="494" t="s">
        <v>146</v>
      </c>
      <c r="BJ1" s="494" t="s">
        <v>146</v>
      </c>
      <c r="BK1" s="494" t="s">
        <v>146</v>
      </c>
      <c r="BM1" s="494" t="s">
        <v>147</v>
      </c>
      <c r="BN1" s="494" t="s">
        <v>147</v>
      </c>
      <c r="BO1" s="494" t="s">
        <v>147</v>
      </c>
      <c r="BV1" s="494" t="s">
        <v>147</v>
      </c>
      <c r="BW1" s="494" t="s">
        <v>147</v>
      </c>
      <c r="BY1" s="494" t="s">
        <v>147</v>
      </c>
      <c r="BZ1" s="494" t="s">
        <v>147</v>
      </c>
      <c r="CB1" s="494" t="s">
        <v>147</v>
      </c>
      <c r="CC1" s="494" t="s">
        <v>147</v>
      </c>
      <c r="CF1" s="494" t="s">
        <v>147</v>
      </c>
      <c r="CG1" s="494" t="s">
        <v>147</v>
      </c>
      <c r="CI1" s="494" t="s">
        <v>147</v>
      </c>
    </row>
    <row r="2" spans="1:94" ht="15" customHeight="1" x14ac:dyDescent="0.25">
      <c r="B2" s="319"/>
      <c r="C2" s="319"/>
      <c r="D2" s="319"/>
      <c r="E2" s="319"/>
      <c r="L2" s="3"/>
      <c r="N2" s="3"/>
      <c r="Q2" s="537"/>
      <c r="R2" s="537"/>
      <c r="S2" s="537"/>
      <c r="T2" s="537"/>
      <c r="U2" s="537"/>
      <c r="V2" s="537"/>
      <c r="W2" s="538"/>
      <c r="X2" s="537"/>
      <c r="Y2" s="537"/>
      <c r="Z2" s="537"/>
      <c r="AA2" s="537"/>
      <c r="AB2" s="537"/>
      <c r="AC2" s="537"/>
      <c r="AK2" s="420">
        <v>0.2</v>
      </c>
      <c r="AL2" s="420">
        <v>0.2</v>
      </c>
      <c r="AM2" s="420">
        <v>0.2</v>
      </c>
      <c r="AQ2" s="302"/>
      <c r="AR2" s="302"/>
      <c r="AS2" s="302"/>
      <c r="BG2" s="29">
        <v>676.84210526315803</v>
      </c>
    </row>
    <row r="3" spans="1:94" x14ac:dyDescent="0.25">
      <c r="B3" s="547" t="s">
        <v>145</v>
      </c>
      <c r="C3" s="547"/>
      <c r="D3" s="547"/>
      <c r="E3" s="547"/>
      <c r="F3" s="456" t="s">
        <v>132</v>
      </c>
      <c r="G3" s="2" t="s">
        <v>0</v>
      </c>
      <c r="H3" s="2" t="s">
        <v>0</v>
      </c>
      <c r="K3" s="421" t="s">
        <v>1</v>
      </c>
      <c r="L3" s="421" t="s">
        <v>1</v>
      </c>
      <c r="M3" s="2" t="s">
        <v>0</v>
      </c>
      <c r="N3" s="2" t="s">
        <v>0</v>
      </c>
      <c r="O3" s="2" t="s">
        <v>0</v>
      </c>
      <c r="Q3" s="456" t="s">
        <v>132</v>
      </c>
      <c r="R3" s="2" t="s">
        <v>0</v>
      </c>
      <c r="S3" s="2" t="s">
        <v>0</v>
      </c>
      <c r="T3" s="421" t="s">
        <v>1</v>
      </c>
      <c r="U3" s="421" t="s">
        <v>1</v>
      </c>
      <c r="W3" s="456" t="s">
        <v>132</v>
      </c>
      <c r="X3" s="421" t="s">
        <v>1</v>
      </c>
      <c r="Y3" s="421" t="s">
        <v>1</v>
      </c>
      <c r="AA3" s="2" t="s">
        <v>0</v>
      </c>
      <c r="AB3" s="2" t="s">
        <v>0</v>
      </c>
      <c r="AC3" s="2" t="s">
        <v>0</v>
      </c>
      <c r="AE3" s="2" t="s">
        <v>0</v>
      </c>
      <c r="AF3" s="2" t="s">
        <v>0</v>
      </c>
      <c r="AG3" s="2" t="s">
        <v>0</v>
      </c>
      <c r="AH3" s="421" t="s">
        <v>1</v>
      </c>
      <c r="AI3" s="421" t="s">
        <v>1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W3" s="2" t="s">
        <v>0</v>
      </c>
      <c r="AX3" s="2" t="s">
        <v>0</v>
      </c>
      <c r="AY3" s="2" t="s">
        <v>0</v>
      </c>
      <c r="BA3" s="2" t="s">
        <v>0</v>
      </c>
      <c r="BB3" s="2" t="s">
        <v>0</v>
      </c>
      <c r="BC3" s="2" t="s">
        <v>0</v>
      </c>
      <c r="BE3" s="2" t="s">
        <v>0</v>
      </c>
      <c r="BF3" s="2" t="s">
        <v>0</v>
      </c>
      <c r="BG3" s="2" t="s">
        <v>0</v>
      </c>
      <c r="BI3" s="2" t="s">
        <v>0</v>
      </c>
      <c r="BJ3" s="2" t="s">
        <v>0</v>
      </c>
      <c r="BK3" s="2" t="s">
        <v>0</v>
      </c>
      <c r="BM3" s="456" t="s">
        <v>132</v>
      </c>
      <c r="BN3" s="2" t="s">
        <v>0</v>
      </c>
      <c r="BO3" s="2" t="s">
        <v>0</v>
      </c>
      <c r="BP3" s="2" t="s">
        <v>0</v>
      </c>
      <c r="BQ3" s="2" t="s">
        <v>0</v>
      </c>
      <c r="BV3" s="456" t="s">
        <v>132</v>
      </c>
      <c r="BW3" s="456" t="s">
        <v>132</v>
      </c>
      <c r="BX3" s="2" t="s">
        <v>0</v>
      </c>
      <c r="BY3" s="456" t="s">
        <v>132</v>
      </c>
      <c r="BZ3" s="2" t="s">
        <v>0</v>
      </c>
      <c r="CA3" s="2" t="s">
        <v>0</v>
      </c>
      <c r="CB3" s="421" t="s">
        <v>1</v>
      </c>
      <c r="CC3" s="2" t="s">
        <v>0</v>
      </c>
      <c r="CD3" s="2" t="s">
        <v>0</v>
      </c>
      <c r="CF3" s="456" t="s">
        <v>132</v>
      </c>
      <c r="CG3" s="456" t="s">
        <v>132</v>
      </c>
      <c r="CH3" s="2" t="s">
        <v>0</v>
      </c>
      <c r="CI3" s="2" t="s">
        <v>0</v>
      </c>
      <c r="CJ3" s="2" t="s">
        <v>0</v>
      </c>
      <c r="CK3" s="421" t="s">
        <v>1</v>
      </c>
      <c r="CM3" s="2" t="s">
        <v>0</v>
      </c>
      <c r="CN3" s="2" t="s">
        <v>0</v>
      </c>
      <c r="CO3" s="2" t="s">
        <v>0</v>
      </c>
    </row>
    <row r="4" spans="1:94" s="19" customFormat="1" ht="13.5" customHeight="1" x14ac:dyDescent="0.25">
      <c r="C4" s="419" t="s">
        <v>127</v>
      </c>
      <c r="D4" s="428">
        <v>0.2</v>
      </c>
      <c r="E4" s="19" t="s">
        <v>2</v>
      </c>
      <c r="F4" s="326">
        <v>147900</v>
      </c>
      <c r="G4" s="327">
        <v>154775</v>
      </c>
      <c r="H4" s="327">
        <v>160793.29999999999</v>
      </c>
      <c r="I4" s="328"/>
      <c r="J4" s="328"/>
      <c r="K4" s="329">
        <v>4.6484110885733676E-2</v>
      </c>
      <c r="L4" s="330">
        <v>3.8884186722661918E-2</v>
      </c>
      <c r="Q4" s="413">
        <v>0.64351662183218172</v>
      </c>
      <c r="R4" s="329">
        <v>0.70442340413964111</v>
      </c>
      <c r="S4" s="329">
        <v>0.71062394790542682</v>
      </c>
      <c r="T4" s="331">
        <v>9.4646789595036918E-2</v>
      </c>
      <c r="U4" s="332">
        <v>8.8022966433929373E-3</v>
      </c>
      <c r="V4" s="256"/>
      <c r="W4" s="414">
        <v>4.5651467721930385E-2</v>
      </c>
      <c r="X4" s="415">
        <v>8.8847328323114427E-2</v>
      </c>
      <c r="Y4" s="416">
        <v>9.0143454383307564E-2</v>
      </c>
      <c r="AA4" s="413">
        <v>0.59786515411025132</v>
      </c>
      <c r="AB4" s="329">
        <v>0.61557607581652674</v>
      </c>
      <c r="AC4" s="330">
        <v>0.62048049352211931</v>
      </c>
      <c r="AD4" s="258"/>
      <c r="AE4" s="333">
        <v>32.064668567337556</v>
      </c>
      <c r="AF4" s="334">
        <v>33.026608624357685</v>
      </c>
      <c r="AG4" s="334">
        <v>34.677939055575571</v>
      </c>
      <c r="AH4" s="417">
        <v>0.03</v>
      </c>
      <c r="AI4" s="418">
        <v>0.05</v>
      </c>
      <c r="AJ4" s="258"/>
      <c r="AK4" s="333">
        <v>38.477602280805066</v>
      </c>
      <c r="AL4" s="334">
        <v>39.631930349229222</v>
      </c>
      <c r="AM4" s="334">
        <v>41.613526866690684</v>
      </c>
      <c r="AN4" s="417">
        <v>0.03</v>
      </c>
      <c r="AO4" s="418">
        <v>0.05</v>
      </c>
      <c r="AQ4" s="333">
        <v>32.613009922822492</v>
      </c>
      <c r="AR4" s="334">
        <v>32.108113504091222</v>
      </c>
      <c r="AS4" s="334">
        <v>33.773124970607817</v>
      </c>
      <c r="AT4" s="331">
        <v>-1.5481441913092087E-2</v>
      </c>
      <c r="AU4" s="332">
        <v>5.1856409013392835E-2</v>
      </c>
      <c r="AW4" s="333">
        <v>8074.8283752860561</v>
      </c>
      <c r="AX4" s="335">
        <v>16142.251461988308</v>
      </c>
      <c r="AY4" s="336">
        <v>17011.993189854744</v>
      </c>
      <c r="BA4" s="333">
        <v>88424.256292906168</v>
      </c>
      <c r="BB4" s="335">
        <v>95275.787134502927</v>
      </c>
      <c r="BC4" s="336">
        <v>99769.106139050185</v>
      </c>
      <c r="BE4" s="333">
        <v>58475.743707093825</v>
      </c>
      <c r="BF4" s="335">
        <v>58449.212865497058</v>
      </c>
      <c r="BG4" s="336">
        <v>59942.693860949832</v>
      </c>
      <c r="BI4" s="333">
        <v>154974.82837528607</v>
      </c>
      <c r="BJ4" s="334">
        <v>169867.25146198831</v>
      </c>
      <c r="BK4" s="337">
        <v>176723.79318985474</v>
      </c>
      <c r="BM4" s="326">
        <v>4535</v>
      </c>
      <c r="BN4" s="327">
        <v>4820.4326915774282</v>
      </c>
      <c r="BO4" s="327">
        <v>4760.9837745229588</v>
      </c>
      <c r="BP4" s="331">
        <v>6.2939954041329349E-2</v>
      </c>
      <c r="BQ4" s="332">
        <v>-1.2332693112454884E-2</v>
      </c>
      <c r="BV4" s="338">
        <v>4581.5</v>
      </c>
      <c r="BW4" s="339">
        <v>3087.4</v>
      </c>
      <c r="BX4" s="331">
        <v>-0.32611590090581688</v>
      </c>
      <c r="BY4" s="339">
        <v>3572</v>
      </c>
      <c r="BZ4" s="339">
        <v>256108.91795717622</v>
      </c>
      <c r="CA4" s="331">
        <v>70.699025183979899</v>
      </c>
      <c r="CB4" s="339">
        <v>714</v>
      </c>
      <c r="CC4" s="339">
        <v>2033.3632184461812</v>
      </c>
      <c r="CD4" s="332">
        <v>1.8478476448826067</v>
      </c>
      <c r="CF4" s="333">
        <v>257357.35064875364</v>
      </c>
      <c r="CG4" s="334">
        <v>6479463.5963446107</v>
      </c>
      <c r="CH4" s="340">
        <v>1.8474091471857398E-2</v>
      </c>
      <c r="CI4" s="334">
        <v>6080.346992969141</v>
      </c>
      <c r="CJ4" s="334">
        <v>4637744.1738858055</v>
      </c>
      <c r="CK4" s="341">
        <v>0.70072720446124892</v>
      </c>
      <c r="CM4" s="491">
        <v>1.1826989529137164</v>
      </c>
      <c r="CN4" s="492">
        <v>3.7125813706283664E-2</v>
      </c>
      <c r="CO4" s="493">
        <v>3.4658568205012337</v>
      </c>
    </row>
    <row r="5" spans="1:94" ht="6.6" customHeight="1" x14ac:dyDescent="0.25">
      <c r="F5" s="57"/>
      <c r="G5" s="57"/>
      <c r="H5" s="57"/>
      <c r="K5" s="143"/>
      <c r="L5" s="143"/>
      <c r="Q5" s="154"/>
      <c r="R5" s="154"/>
      <c r="S5" s="154"/>
      <c r="T5" s="154"/>
      <c r="U5" s="154"/>
      <c r="V5" s="29"/>
      <c r="W5" s="147"/>
      <c r="X5" s="147"/>
      <c r="Y5" s="147"/>
      <c r="AA5" s="159"/>
      <c r="AB5" s="159"/>
      <c r="AC5" s="159"/>
      <c r="AE5" s="320"/>
      <c r="AF5" s="320"/>
      <c r="AG5" s="320"/>
      <c r="AH5" s="321"/>
      <c r="AI5" s="321"/>
      <c r="AK5" s="320"/>
      <c r="AL5" s="320"/>
      <c r="AM5" s="320"/>
      <c r="AN5" s="321"/>
      <c r="AO5" s="321"/>
      <c r="AQ5" s="320"/>
      <c r="AR5" s="320"/>
      <c r="AS5" s="320"/>
      <c r="AT5" s="154"/>
      <c r="AU5" s="154"/>
      <c r="AW5" s="323"/>
      <c r="AX5" s="322"/>
      <c r="AY5" s="322"/>
      <c r="BA5" s="323"/>
      <c r="BB5" s="322"/>
      <c r="BC5" s="322"/>
      <c r="BE5" s="323"/>
      <c r="BF5" s="322"/>
      <c r="BG5" s="322"/>
      <c r="BI5" s="323"/>
      <c r="BJ5" s="323"/>
      <c r="BK5" s="323"/>
      <c r="BM5" s="57"/>
      <c r="BN5" s="57"/>
      <c r="BO5" s="57"/>
      <c r="BP5" s="142"/>
      <c r="BQ5" s="142"/>
      <c r="BV5" s="324"/>
      <c r="BW5" s="324"/>
      <c r="BX5" s="154"/>
      <c r="BY5" s="324"/>
      <c r="BZ5" s="324"/>
      <c r="CA5" s="154"/>
      <c r="CB5" s="324"/>
      <c r="CC5" s="324"/>
      <c r="CD5" s="154"/>
      <c r="CF5" s="320"/>
      <c r="CG5" s="320"/>
      <c r="CH5" s="325"/>
      <c r="CI5" s="320"/>
      <c r="CJ5" s="320"/>
      <c r="CK5" s="325"/>
      <c r="CM5" s="323"/>
      <c r="CN5" s="323"/>
      <c r="CO5" s="323"/>
    </row>
    <row r="6" spans="1:94" ht="14.25" customHeight="1" x14ac:dyDescent="0.25">
      <c r="B6" s="19"/>
      <c r="C6" s="19"/>
      <c r="D6" s="19"/>
      <c r="E6" s="19"/>
      <c r="F6" s="539" t="s">
        <v>4</v>
      </c>
      <c r="G6" s="539"/>
      <c r="H6" s="539"/>
      <c r="I6" s="539"/>
      <c r="J6" s="539"/>
      <c r="K6" s="539"/>
      <c r="L6" s="539"/>
      <c r="M6" s="539" t="s">
        <v>5</v>
      </c>
      <c r="N6" s="539"/>
      <c r="O6" s="539"/>
      <c r="Q6" s="550" t="s">
        <v>6</v>
      </c>
      <c r="R6" s="551"/>
      <c r="S6" s="551"/>
      <c r="T6" s="551"/>
      <c r="U6" s="552"/>
      <c r="W6" s="539" t="s">
        <v>7</v>
      </c>
      <c r="X6" s="539"/>
      <c r="Y6" s="539"/>
      <c r="AA6" s="539" t="s">
        <v>8</v>
      </c>
      <c r="AB6" s="539"/>
      <c r="AC6" s="539"/>
      <c r="AD6" s="15"/>
      <c r="AE6" s="545" t="s">
        <v>125</v>
      </c>
      <c r="AF6" s="546"/>
      <c r="AG6" s="546"/>
      <c r="AH6" s="546"/>
      <c r="AI6" s="546"/>
      <c r="AJ6" s="15"/>
      <c r="AK6" s="545" t="s">
        <v>126</v>
      </c>
      <c r="AL6" s="546"/>
      <c r="AM6" s="546"/>
      <c r="AN6" s="546"/>
      <c r="AO6" s="546"/>
      <c r="AQ6" s="545" t="s">
        <v>128</v>
      </c>
      <c r="AR6" s="546"/>
      <c r="AS6" s="546"/>
      <c r="AT6" s="546"/>
      <c r="AU6" s="546"/>
      <c r="AW6" s="539" t="s">
        <v>129</v>
      </c>
      <c r="AX6" s="539"/>
      <c r="AY6" s="539"/>
      <c r="BA6" s="539" t="s">
        <v>9</v>
      </c>
      <c r="BB6" s="539"/>
      <c r="BC6" s="539"/>
      <c r="BE6" s="539" t="s">
        <v>130</v>
      </c>
      <c r="BF6" s="539"/>
      <c r="BG6" s="539"/>
      <c r="BI6" s="539" t="s">
        <v>124</v>
      </c>
      <c r="BJ6" s="539"/>
      <c r="BK6" s="539"/>
      <c r="BM6" s="549" t="s">
        <v>131</v>
      </c>
      <c r="BN6" s="549"/>
      <c r="BO6" s="549"/>
      <c r="BP6" s="549"/>
      <c r="BQ6" s="549"/>
      <c r="BR6" s="539" t="s">
        <v>3</v>
      </c>
      <c r="BS6" s="539"/>
      <c r="BT6" s="539"/>
      <c r="BV6" s="545" t="s">
        <v>10</v>
      </c>
      <c r="BW6" s="546"/>
      <c r="BX6" s="546"/>
      <c r="BY6" s="546"/>
      <c r="BZ6" s="546"/>
      <c r="CA6" s="546"/>
      <c r="CB6" s="546"/>
      <c r="CC6" s="546"/>
      <c r="CD6" s="548"/>
      <c r="CF6" s="545" t="s">
        <v>133</v>
      </c>
      <c r="CG6" s="546"/>
      <c r="CH6" s="548"/>
      <c r="CI6" s="545" t="s">
        <v>133</v>
      </c>
      <c r="CJ6" s="546"/>
      <c r="CK6" s="548"/>
      <c r="CM6" s="539" t="s">
        <v>136</v>
      </c>
      <c r="CN6" s="539"/>
      <c r="CO6" s="539" t="s">
        <v>11</v>
      </c>
    </row>
    <row r="7" spans="1:94" s="21" customFormat="1" ht="65.25" customHeight="1" x14ac:dyDescent="0.25"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149</v>
      </c>
      <c r="G7" s="20" t="s">
        <v>150</v>
      </c>
      <c r="H7" s="20" t="s">
        <v>151</v>
      </c>
      <c r="I7" s="20" t="s">
        <v>20</v>
      </c>
      <c r="J7" s="20" t="s">
        <v>21</v>
      </c>
      <c r="K7" s="20" t="s">
        <v>18</v>
      </c>
      <c r="L7" s="20" t="s">
        <v>19</v>
      </c>
      <c r="M7" s="20" t="s">
        <v>149</v>
      </c>
      <c r="N7" s="20" t="s">
        <v>150</v>
      </c>
      <c r="O7" s="20" t="s">
        <v>151</v>
      </c>
      <c r="Q7" s="20" t="s">
        <v>149</v>
      </c>
      <c r="R7" s="20" t="s">
        <v>150</v>
      </c>
      <c r="S7" s="20" t="s">
        <v>151</v>
      </c>
      <c r="T7" s="20" t="s">
        <v>18</v>
      </c>
      <c r="U7" s="20" t="s">
        <v>19</v>
      </c>
      <c r="V7" s="2"/>
      <c r="W7" s="20" t="s">
        <v>149</v>
      </c>
      <c r="X7" s="20" t="s">
        <v>150</v>
      </c>
      <c r="Y7" s="20" t="s">
        <v>151</v>
      </c>
      <c r="AA7" s="390" t="s">
        <v>149</v>
      </c>
      <c r="AB7" s="390" t="s">
        <v>150</v>
      </c>
      <c r="AC7" s="390" t="s">
        <v>151</v>
      </c>
      <c r="AD7" s="22"/>
      <c r="AE7" s="20" t="s">
        <v>149</v>
      </c>
      <c r="AF7" s="20" t="s">
        <v>150</v>
      </c>
      <c r="AG7" s="20" t="s">
        <v>151</v>
      </c>
      <c r="AH7" s="20" t="s">
        <v>18</v>
      </c>
      <c r="AI7" s="20" t="s">
        <v>19</v>
      </c>
      <c r="AJ7" s="22"/>
      <c r="AK7" s="20" t="s">
        <v>149</v>
      </c>
      <c r="AL7" s="20" t="s">
        <v>150</v>
      </c>
      <c r="AM7" s="20" t="s">
        <v>151</v>
      </c>
      <c r="AN7" s="20" t="s">
        <v>18</v>
      </c>
      <c r="AO7" s="20" t="s">
        <v>19</v>
      </c>
      <c r="AP7" s="2"/>
      <c r="AQ7" s="20" t="s">
        <v>149</v>
      </c>
      <c r="AR7" s="20" t="s">
        <v>150</v>
      </c>
      <c r="AS7" s="20" t="s">
        <v>151</v>
      </c>
      <c r="AT7" s="20" t="s">
        <v>18</v>
      </c>
      <c r="AU7" s="20" t="s">
        <v>19</v>
      </c>
      <c r="AW7" s="20" t="s">
        <v>149</v>
      </c>
      <c r="AX7" s="20" t="s">
        <v>150</v>
      </c>
      <c r="AY7" s="20" t="s">
        <v>151</v>
      </c>
      <c r="BA7" s="20" t="s">
        <v>149</v>
      </c>
      <c r="BB7" s="20" t="s">
        <v>150</v>
      </c>
      <c r="BC7" s="20" t="s">
        <v>151</v>
      </c>
      <c r="BE7" s="20" t="s">
        <v>149</v>
      </c>
      <c r="BF7" s="20" t="s">
        <v>150</v>
      </c>
      <c r="BG7" s="20" t="s">
        <v>151</v>
      </c>
      <c r="BI7" s="20" t="s">
        <v>149</v>
      </c>
      <c r="BJ7" s="20" t="s">
        <v>150</v>
      </c>
      <c r="BK7" s="20" t="s">
        <v>151</v>
      </c>
      <c r="BM7" s="20" t="s">
        <v>149</v>
      </c>
      <c r="BN7" s="20" t="s">
        <v>150</v>
      </c>
      <c r="BO7" s="20" t="s">
        <v>151</v>
      </c>
      <c r="BP7" s="20" t="s">
        <v>18</v>
      </c>
      <c r="BQ7" s="20" t="s">
        <v>19</v>
      </c>
      <c r="BR7" s="20" t="s">
        <v>149</v>
      </c>
      <c r="BS7" s="20" t="s">
        <v>150</v>
      </c>
      <c r="BT7" s="20" t="s">
        <v>151</v>
      </c>
      <c r="BV7" s="20" t="s">
        <v>152</v>
      </c>
      <c r="BW7" s="20" t="s">
        <v>153</v>
      </c>
      <c r="BX7" s="20" t="s">
        <v>154</v>
      </c>
      <c r="BY7" s="20" t="s">
        <v>155</v>
      </c>
      <c r="BZ7" s="20" t="s">
        <v>156</v>
      </c>
      <c r="CA7" s="20" t="s">
        <v>157</v>
      </c>
      <c r="CB7" s="20" t="s">
        <v>158</v>
      </c>
      <c r="CC7" s="20" t="s">
        <v>159</v>
      </c>
      <c r="CD7" s="20" t="s">
        <v>160</v>
      </c>
      <c r="CF7" s="20" t="s">
        <v>161</v>
      </c>
      <c r="CG7" s="20" t="s">
        <v>162</v>
      </c>
      <c r="CH7" s="20" t="s">
        <v>134</v>
      </c>
      <c r="CI7" s="20" t="s">
        <v>163</v>
      </c>
      <c r="CJ7" s="20" t="s">
        <v>164</v>
      </c>
      <c r="CK7" s="20" t="s">
        <v>165</v>
      </c>
      <c r="CM7" s="20" t="s">
        <v>16</v>
      </c>
      <c r="CN7" s="20" t="s">
        <v>16</v>
      </c>
      <c r="CO7" s="20" t="s">
        <v>17</v>
      </c>
    </row>
    <row r="8" spans="1:94" ht="13.5" customHeight="1" outlineLevel="1" x14ac:dyDescent="0.25">
      <c r="A8" s="554" t="s">
        <v>167</v>
      </c>
      <c r="B8" s="23" t="s">
        <v>22</v>
      </c>
      <c r="C8" s="23" t="s">
        <v>23</v>
      </c>
      <c r="D8" s="23" t="s">
        <v>24</v>
      </c>
      <c r="E8" s="24" t="s">
        <v>25</v>
      </c>
      <c r="F8" s="450">
        <v>1000</v>
      </c>
      <c r="G8" s="25">
        <v>1050</v>
      </c>
      <c r="H8" s="30">
        <v>1050</v>
      </c>
      <c r="I8" s="31"/>
      <c r="J8" s="32"/>
      <c r="K8" s="444">
        <f>IFERROR(F8/G8,0)</f>
        <v>0.95238095238095233</v>
      </c>
      <c r="L8" s="444">
        <f>IFERROR(G8/H8,0)</f>
        <v>1</v>
      </c>
      <c r="M8" s="391">
        <v>6.7613252197430695E-3</v>
      </c>
      <c r="N8" s="392">
        <v>6.7840413503472783E-3</v>
      </c>
      <c r="O8" s="393">
        <v>6.530122834720104E-3</v>
      </c>
      <c r="P8" s="29"/>
      <c r="Q8" s="457">
        <v>0.6</v>
      </c>
      <c r="R8" s="342">
        <v>0.66</v>
      </c>
      <c r="S8" s="342">
        <v>0.66</v>
      </c>
      <c r="T8" s="34">
        <v>0.1</v>
      </c>
      <c r="U8" s="35">
        <v>0</v>
      </c>
      <c r="V8" s="29"/>
      <c r="W8" s="463">
        <v>0.05</v>
      </c>
      <c r="X8" s="482">
        <v>0.05</v>
      </c>
      <c r="Y8" s="374">
        <v>0.05</v>
      </c>
      <c r="AA8" s="391">
        <v>0.57894736842105254</v>
      </c>
      <c r="AB8" s="392">
        <v>0.64210526315789473</v>
      </c>
      <c r="AC8" s="393">
        <v>0.64210526315789473</v>
      </c>
      <c r="AD8" s="15"/>
      <c r="AE8" s="63">
        <v>21.05263157894737</v>
      </c>
      <c r="AF8" s="25">
        <v>25.263157894736842</v>
      </c>
      <c r="AG8" s="25">
        <v>25.263157894736842</v>
      </c>
      <c r="AH8" s="34">
        <v>0.2</v>
      </c>
      <c r="AI8" s="35">
        <v>0</v>
      </c>
      <c r="AJ8" s="15"/>
      <c r="AK8" s="63">
        <v>25.263157894736842</v>
      </c>
      <c r="AL8" s="25">
        <v>30.315789473684209</v>
      </c>
      <c r="AM8" s="25">
        <v>30.315789473684209</v>
      </c>
      <c r="AN8" s="432">
        <v>0.19999999999999996</v>
      </c>
      <c r="AO8" s="433">
        <v>0</v>
      </c>
      <c r="AQ8" s="38">
        <v>20</v>
      </c>
      <c r="AR8" s="39">
        <v>24</v>
      </c>
      <c r="AS8" s="40">
        <v>24</v>
      </c>
      <c r="AT8" s="26">
        <v>0.19999999999999996</v>
      </c>
      <c r="AU8" s="27">
        <v>0</v>
      </c>
      <c r="AW8" s="41">
        <v>52.631578947368553</v>
      </c>
      <c r="AX8" s="25">
        <v>55.263157894736878</v>
      </c>
      <c r="AY8" s="30">
        <v>55.263157894736878</v>
      </c>
      <c r="BA8" s="41">
        <v>578.94736842105249</v>
      </c>
      <c r="BB8" s="25">
        <v>674.21052631578948</v>
      </c>
      <c r="BC8" s="30">
        <v>674.21052631578948</v>
      </c>
      <c r="BE8" s="42">
        <v>421.05263157894751</v>
      </c>
      <c r="BF8" s="25">
        <v>375.78947368421052</v>
      </c>
      <c r="BG8" s="30">
        <v>375.78947368421052</v>
      </c>
      <c r="BI8" s="43">
        <v>1052.6315789473686</v>
      </c>
      <c r="BJ8" s="44">
        <v>1105.2631578947369</v>
      </c>
      <c r="BK8" s="45">
        <v>1105.2631578947369</v>
      </c>
      <c r="BM8" s="450">
        <v>50</v>
      </c>
      <c r="BN8" s="25">
        <v>43.75</v>
      </c>
      <c r="BO8" s="25">
        <v>43.75</v>
      </c>
      <c r="BP8" s="26">
        <v>-0.125</v>
      </c>
      <c r="BQ8" s="27">
        <v>0</v>
      </c>
      <c r="BR8" s="391">
        <v>1.1025358324145534E-2</v>
      </c>
      <c r="BS8" s="392">
        <v>9.0759487372249446E-3</v>
      </c>
      <c r="BT8" s="393">
        <v>9.1892772737675755E-3</v>
      </c>
      <c r="BV8" s="450">
        <v>4</v>
      </c>
      <c r="BW8" s="468">
        <v>4</v>
      </c>
      <c r="BX8" s="46">
        <v>0</v>
      </c>
      <c r="BY8" s="450">
        <v>4</v>
      </c>
      <c r="BZ8" s="488">
        <v>93.303221288515402</v>
      </c>
      <c r="CA8" s="46">
        <v>22.325805322128851</v>
      </c>
      <c r="CB8" s="218">
        <v>5</v>
      </c>
      <c r="CC8" s="47">
        <v>18.750000000000007</v>
      </c>
      <c r="CD8" s="46">
        <v>2.7500000000000013</v>
      </c>
      <c r="CF8" s="474">
        <v>133.0532212885154</v>
      </c>
      <c r="CG8" s="474">
        <v>5000</v>
      </c>
      <c r="CH8" s="48">
        <v>0.31921905657292349</v>
      </c>
      <c r="CI8" s="49">
        <v>57.500000000000007</v>
      </c>
      <c r="CJ8" s="49">
        <v>21607.894736842107</v>
      </c>
      <c r="CK8" s="50">
        <v>0.7</v>
      </c>
      <c r="CM8" s="214">
        <v>12.5</v>
      </c>
      <c r="CN8" s="51">
        <v>0.89925080425191983</v>
      </c>
      <c r="CO8" s="52">
        <v>3.6842105263157885</v>
      </c>
      <c r="CP8" s="494" t="s">
        <v>148</v>
      </c>
    </row>
    <row r="9" spans="1:94" ht="13.5" customHeight="1" outlineLevel="1" x14ac:dyDescent="0.25">
      <c r="A9" s="494"/>
      <c r="B9" s="53"/>
      <c r="C9" s="53"/>
      <c r="D9" s="53"/>
      <c r="E9" s="24" t="s">
        <v>26</v>
      </c>
      <c r="F9" s="451">
        <v>2500</v>
      </c>
      <c r="G9" s="54">
        <v>2575</v>
      </c>
      <c r="H9" s="55">
        <v>2781</v>
      </c>
      <c r="I9" s="57"/>
      <c r="J9" s="58"/>
      <c r="K9" s="445">
        <v>0.03</v>
      </c>
      <c r="L9" s="445">
        <v>0.08</v>
      </c>
      <c r="M9" s="394">
        <v>1.6903313049357674E-2</v>
      </c>
      <c r="N9" s="395">
        <v>1.6637053787756421E-2</v>
      </c>
      <c r="O9" s="396">
        <v>1.7295496765101531E-2</v>
      </c>
      <c r="P9" s="29"/>
      <c r="Q9" s="458">
        <v>0.5</v>
      </c>
      <c r="R9" s="343">
        <v>0.51</v>
      </c>
      <c r="S9" s="343">
        <v>0.5202</v>
      </c>
      <c r="T9" s="60">
        <v>0.02</v>
      </c>
      <c r="U9" s="37">
        <v>0.02</v>
      </c>
      <c r="W9" s="464">
        <v>0.05</v>
      </c>
      <c r="X9" s="483">
        <v>0.05</v>
      </c>
      <c r="Y9" s="374">
        <v>0.03</v>
      </c>
      <c r="AA9" s="394">
        <v>0.47368421052631582</v>
      </c>
      <c r="AB9" s="395">
        <v>0.48421052631578954</v>
      </c>
      <c r="AC9" s="396">
        <v>0.50536082474226807</v>
      </c>
      <c r="AD9" s="15"/>
      <c r="AE9" s="63">
        <v>35.087719298245617</v>
      </c>
      <c r="AF9" s="62">
        <v>36.842105263157897</v>
      </c>
      <c r="AG9" s="62">
        <v>38.684210526315795</v>
      </c>
      <c r="AH9" s="60">
        <v>0.05</v>
      </c>
      <c r="AI9" s="37">
        <v>0.05</v>
      </c>
      <c r="AJ9" s="15"/>
      <c r="AK9" s="63">
        <v>42.10526315789474</v>
      </c>
      <c r="AL9" s="62">
        <v>44.210526315789473</v>
      </c>
      <c r="AM9" s="62">
        <v>46.421052631578952</v>
      </c>
      <c r="AN9" s="434">
        <v>4.9999999999999822E-2</v>
      </c>
      <c r="AO9" s="435">
        <v>5.0000000000000044E-2</v>
      </c>
      <c r="AQ9" s="63">
        <v>33.333333333333336</v>
      </c>
      <c r="AR9" s="64">
        <v>35</v>
      </c>
      <c r="AS9" s="65">
        <v>37.523684210526319</v>
      </c>
      <c r="AT9" s="56">
        <v>4.9999999999999822E-2</v>
      </c>
      <c r="AU9" s="27">
        <v>7.2105263157894894E-2</v>
      </c>
      <c r="AW9" s="66">
        <v>131.57894736842127</v>
      </c>
      <c r="AX9" s="54">
        <v>135.52631578947376</v>
      </c>
      <c r="AY9" s="55">
        <v>86.010309278350633</v>
      </c>
      <c r="BA9" s="66">
        <v>1184.2105263157896</v>
      </c>
      <c r="BB9" s="54">
        <v>1246.8421052631581</v>
      </c>
      <c r="BC9" s="55">
        <v>1405.4084536082476</v>
      </c>
      <c r="BE9" s="67">
        <v>1315.7894736842104</v>
      </c>
      <c r="BF9" s="54">
        <v>1328.1578947368419</v>
      </c>
      <c r="BG9" s="55">
        <v>1375.5915463917524</v>
      </c>
      <c r="BI9" s="68">
        <v>2631.5789473684213</v>
      </c>
      <c r="BJ9" s="62">
        <v>2710.5263157894738</v>
      </c>
      <c r="BK9" s="69">
        <v>2867.0103092783506</v>
      </c>
      <c r="BM9" s="451">
        <v>75</v>
      </c>
      <c r="BN9" s="54">
        <v>73.571428571428569</v>
      </c>
      <c r="BO9" s="55">
        <v>74.113191668419944</v>
      </c>
      <c r="BP9" s="56">
        <v>-1.9047619047619091E-2</v>
      </c>
      <c r="BQ9" s="27">
        <v>7.3637702503681624E-3</v>
      </c>
      <c r="BR9" s="394">
        <v>1.6538037486218304E-2</v>
      </c>
      <c r="BS9" s="395">
        <v>1.5262411754027254E-2</v>
      </c>
      <c r="BT9" s="396">
        <v>1.5566780980228385E-2</v>
      </c>
      <c r="BV9" s="451">
        <v>4.5</v>
      </c>
      <c r="BW9" s="469">
        <v>5.3999999999999995</v>
      </c>
      <c r="BX9" s="70">
        <v>0.19999999999999996</v>
      </c>
      <c r="BY9" s="451">
        <v>2</v>
      </c>
      <c r="BZ9" s="487">
        <v>3.7208242520309227</v>
      </c>
      <c r="CA9" s="70">
        <v>0.86041212601546135</v>
      </c>
      <c r="CB9" s="219">
        <v>10</v>
      </c>
      <c r="CC9" s="71">
        <v>24.704397222806648</v>
      </c>
      <c r="CD9" s="70">
        <v>1.4704397222806649</v>
      </c>
      <c r="CF9" s="475">
        <v>75.292252823459492</v>
      </c>
      <c r="CG9" s="475">
        <v>10000</v>
      </c>
      <c r="CH9" s="48">
        <v>0.95186032084574468</v>
      </c>
      <c r="CI9" s="72">
        <v>88.817588891226592</v>
      </c>
      <c r="CJ9" s="72">
        <v>122176.72444966932</v>
      </c>
      <c r="CK9" s="50">
        <v>0.75</v>
      </c>
      <c r="CM9" s="215">
        <v>15.151515151515154</v>
      </c>
      <c r="CN9" s="216">
        <v>25.720569390087565</v>
      </c>
      <c r="CO9" s="217">
        <v>4.2711124583207036</v>
      </c>
    </row>
    <row r="10" spans="1:94" ht="13.5" customHeight="1" outlineLevel="1" x14ac:dyDescent="0.25">
      <c r="B10" s="53"/>
      <c r="C10" s="53"/>
      <c r="D10" s="53"/>
      <c r="E10" s="24" t="s">
        <v>27</v>
      </c>
      <c r="F10" s="451">
        <v>10000</v>
      </c>
      <c r="G10" s="54">
        <v>10200</v>
      </c>
      <c r="H10" s="55">
        <v>11424.000000000002</v>
      </c>
      <c r="I10" s="57"/>
      <c r="J10" s="58"/>
      <c r="K10" s="445">
        <v>0.02</v>
      </c>
      <c r="L10" s="445">
        <v>0.12</v>
      </c>
      <c r="M10" s="394">
        <v>6.7613252197430695E-2</v>
      </c>
      <c r="N10" s="395">
        <v>6.5902115974802139E-2</v>
      </c>
      <c r="O10" s="396">
        <v>7.1047736441754744E-2</v>
      </c>
      <c r="P10" s="29"/>
      <c r="Q10" s="458">
        <v>0.35</v>
      </c>
      <c r="R10" s="343">
        <v>0.36049999999999999</v>
      </c>
      <c r="S10" s="343">
        <v>0.37491999999999998</v>
      </c>
      <c r="T10" s="60">
        <v>0.03</v>
      </c>
      <c r="U10" s="37">
        <v>0.04</v>
      </c>
      <c r="W10" s="464">
        <v>0.08</v>
      </c>
      <c r="X10" s="483">
        <v>0.05</v>
      </c>
      <c r="Y10" s="374">
        <v>0.08</v>
      </c>
      <c r="AA10" s="394">
        <v>0.29347826086956519</v>
      </c>
      <c r="AB10" s="395">
        <v>0.32684210526315793</v>
      </c>
      <c r="AC10" s="396">
        <v>0.32056521739130428</v>
      </c>
      <c r="AD10" s="15"/>
      <c r="AE10" s="63">
        <v>72.463768115942031</v>
      </c>
      <c r="AF10" s="62">
        <v>79.710144927536234</v>
      </c>
      <c r="AG10" s="62">
        <v>83.695652173913047</v>
      </c>
      <c r="AH10" s="60">
        <v>0.1</v>
      </c>
      <c r="AI10" s="37">
        <v>0.05</v>
      </c>
      <c r="AJ10" s="15"/>
      <c r="AK10" s="63">
        <v>86.956521739130437</v>
      </c>
      <c r="AL10" s="62">
        <v>95.652173913043484</v>
      </c>
      <c r="AM10" s="62">
        <v>100.43478260869566</v>
      </c>
      <c r="AN10" s="434">
        <v>0.10000000000000009</v>
      </c>
      <c r="AO10" s="435">
        <v>5.0000000000000044E-2</v>
      </c>
      <c r="AQ10" s="63">
        <v>66.666666666666671</v>
      </c>
      <c r="AR10" s="64">
        <v>75.724637681159422</v>
      </c>
      <c r="AS10" s="65">
        <v>77</v>
      </c>
      <c r="AT10" s="56">
        <v>0.13586956521739135</v>
      </c>
      <c r="AU10" s="27">
        <v>1.6842105263157769E-2</v>
      </c>
      <c r="AW10" s="66">
        <v>869.56521739130403</v>
      </c>
      <c r="AX10" s="54">
        <v>536.84210526315837</v>
      </c>
      <c r="AY10" s="55">
        <v>993.39130434782601</v>
      </c>
      <c r="BA10" s="66">
        <v>2934.782608695652</v>
      </c>
      <c r="BB10" s="54">
        <v>3333.7894736842109</v>
      </c>
      <c r="BC10" s="55">
        <v>3662.1370434782607</v>
      </c>
      <c r="BE10" s="67">
        <v>7065.217391304348</v>
      </c>
      <c r="BF10" s="54">
        <v>6866.2105263157891</v>
      </c>
      <c r="BG10" s="55">
        <v>7761.8629565217416</v>
      </c>
      <c r="BI10" s="68">
        <v>10869.565217391304</v>
      </c>
      <c r="BJ10" s="62">
        <v>10736.842105263158</v>
      </c>
      <c r="BK10" s="69">
        <v>12417.391304347828</v>
      </c>
      <c r="BM10" s="451">
        <v>150</v>
      </c>
      <c r="BN10" s="54">
        <v>134.69856459330143</v>
      </c>
      <c r="BO10" s="55">
        <v>148.36363636363637</v>
      </c>
      <c r="BP10" s="56">
        <v>-0.10200956937799044</v>
      </c>
      <c r="BQ10" s="27">
        <v>0.10144927536231907</v>
      </c>
      <c r="BR10" s="394">
        <v>3.3076074972436607E-2</v>
      </c>
      <c r="BS10" s="395">
        <v>2.7943251822321984E-2</v>
      </c>
      <c r="BT10" s="396">
        <v>3.1162390671768698E-2</v>
      </c>
      <c r="BV10" s="451">
        <v>15</v>
      </c>
      <c r="BW10" s="469">
        <v>20</v>
      </c>
      <c r="BX10" s="70">
        <v>0.33333333333333326</v>
      </c>
      <c r="BY10" s="451">
        <v>10</v>
      </c>
      <c r="BZ10" s="487">
        <v>20.94217802117987</v>
      </c>
      <c r="CA10" s="70">
        <v>1.0942178021179871</v>
      </c>
      <c r="CB10" s="219">
        <v>2</v>
      </c>
      <c r="CC10" s="71">
        <v>63.584415584415609</v>
      </c>
      <c r="CD10" s="70">
        <v>30.792207792207805</v>
      </c>
      <c r="CF10" s="475">
        <v>145.6407426144813</v>
      </c>
      <c r="CG10" s="475">
        <v>100000</v>
      </c>
      <c r="CH10" s="48">
        <v>0.86544539900421069</v>
      </c>
      <c r="CI10" s="72">
        <v>209.94805194805198</v>
      </c>
      <c r="CJ10" s="72">
        <v>1629588.007209487</v>
      </c>
      <c r="CK10" s="50">
        <v>0.7</v>
      </c>
      <c r="CM10" s="215">
        <v>8.5714285714285712</v>
      </c>
      <c r="CN10" s="216">
        <v>8.7064694994063103</v>
      </c>
      <c r="CO10" s="217">
        <v>4.524356435643563</v>
      </c>
    </row>
    <row r="11" spans="1:94" ht="13.5" customHeight="1" outlineLevel="1" x14ac:dyDescent="0.25">
      <c r="B11" s="53"/>
      <c r="C11" s="53"/>
      <c r="D11" s="53"/>
      <c r="E11" s="24" t="s">
        <v>28</v>
      </c>
      <c r="F11" s="451">
        <v>2000</v>
      </c>
      <c r="G11" s="54">
        <v>2020</v>
      </c>
      <c r="H11" s="55">
        <v>2323</v>
      </c>
      <c r="I11" s="57"/>
      <c r="J11" s="58"/>
      <c r="K11" s="445">
        <v>0.01</v>
      </c>
      <c r="L11" s="445">
        <v>0.15</v>
      </c>
      <c r="M11" s="394">
        <v>1.3522650439486139E-2</v>
      </c>
      <c r="N11" s="395">
        <v>1.3051203359715716E-2</v>
      </c>
      <c r="O11" s="396">
        <v>1.4447119376242669E-2</v>
      </c>
      <c r="P11" s="29"/>
      <c r="Q11" s="458">
        <v>0.4</v>
      </c>
      <c r="R11" s="343">
        <v>0.41600000000000004</v>
      </c>
      <c r="S11" s="343">
        <v>0.42848000000000003</v>
      </c>
      <c r="T11" s="60">
        <v>0.04</v>
      </c>
      <c r="U11" s="37">
        <v>0.03</v>
      </c>
      <c r="W11" s="464">
        <v>0.05</v>
      </c>
      <c r="X11" s="483">
        <v>0.05</v>
      </c>
      <c r="Y11" s="374">
        <v>0.05</v>
      </c>
      <c r="AA11" s="394">
        <v>0.36842105263157898</v>
      </c>
      <c r="AB11" s="395">
        <v>0.38526315789473692</v>
      </c>
      <c r="AC11" s="396">
        <v>0.39840000000000003</v>
      </c>
      <c r="AD11" s="15"/>
      <c r="AE11" s="63">
        <v>21.05263157894737</v>
      </c>
      <c r="AF11" s="62">
        <v>22.10526315789474</v>
      </c>
      <c r="AG11" s="62">
        <v>23.210526315789476</v>
      </c>
      <c r="AH11" s="60">
        <v>0.05</v>
      </c>
      <c r="AI11" s="37">
        <v>0.05</v>
      </c>
      <c r="AJ11" s="15"/>
      <c r="AK11" s="63">
        <v>25.263157894736842</v>
      </c>
      <c r="AL11" s="62">
        <v>26.526315789473689</v>
      </c>
      <c r="AM11" s="62">
        <v>27.852631578947371</v>
      </c>
      <c r="AN11" s="434">
        <v>5.0000000000000044E-2</v>
      </c>
      <c r="AO11" s="435">
        <v>4.9999999999999822E-2</v>
      </c>
      <c r="AQ11" s="63">
        <v>20</v>
      </c>
      <c r="AR11" s="64">
        <v>21.000000000000004</v>
      </c>
      <c r="AS11" s="65">
        <v>22.05</v>
      </c>
      <c r="AT11" s="56">
        <v>5.0000000000000266E-2</v>
      </c>
      <c r="AU11" s="27">
        <v>4.9999999999999822E-2</v>
      </c>
      <c r="AW11" s="66">
        <v>105.26315789473711</v>
      </c>
      <c r="AX11" s="54">
        <v>106.31578947368416</v>
      </c>
      <c r="AY11" s="55">
        <v>122.26315789473711</v>
      </c>
      <c r="BA11" s="66">
        <v>736.84210526315792</v>
      </c>
      <c r="BB11" s="54">
        <v>778.23157894736858</v>
      </c>
      <c r="BC11" s="55">
        <v>925.48320000000012</v>
      </c>
      <c r="BE11" s="67">
        <v>1263.1578947368421</v>
      </c>
      <c r="BF11" s="54">
        <v>1241.7684210526313</v>
      </c>
      <c r="BG11" s="55">
        <v>1397.5167999999999</v>
      </c>
      <c r="BI11" s="68">
        <v>2105.2631578947371</v>
      </c>
      <c r="BJ11" s="62">
        <v>2126.3157894736842</v>
      </c>
      <c r="BK11" s="69">
        <v>2445.2631578947371</v>
      </c>
      <c r="BM11" s="451">
        <v>100</v>
      </c>
      <c r="BN11" s="54">
        <v>96.190476190476176</v>
      </c>
      <c r="BO11" s="55">
        <v>105.35147392290249</v>
      </c>
      <c r="BP11" s="56">
        <v>-3.8095238095238293E-2</v>
      </c>
      <c r="BQ11" s="27">
        <v>9.5238095238095344E-2</v>
      </c>
      <c r="BR11" s="394">
        <v>2.2050716648291068E-2</v>
      </c>
      <c r="BS11" s="395">
        <v>1.995473899232042E-2</v>
      </c>
      <c r="BT11" s="396">
        <v>2.2128089258917606E-2</v>
      </c>
      <c r="BV11" s="451">
        <v>6</v>
      </c>
      <c r="BW11" s="469">
        <v>6</v>
      </c>
      <c r="BX11" s="70">
        <v>0</v>
      </c>
      <c r="BY11" s="451">
        <v>4</v>
      </c>
      <c r="BZ11" s="487">
        <v>12.498931106417913</v>
      </c>
      <c r="CA11" s="70">
        <v>2.1247327766044783</v>
      </c>
      <c r="CB11" s="219">
        <v>2</v>
      </c>
      <c r="CC11" s="71">
        <v>45.150631681243922</v>
      </c>
      <c r="CD11" s="70">
        <v>21.575315840621961</v>
      </c>
      <c r="CF11" s="475">
        <v>104.68940729689409</v>
      </c>
      <c r="CG11" s="475">
        <v>13000</v>
      </c>
      <c r="CH11" s="48">
        <v>0.88500322692646538</v>
      </c>
      <c r="CI11" s="72">
        <v>148.50210560414641</v>
      </c>
      <c r="CJ11" s="72">
        <v>207534.18741716872</v>
      </c>
      <c r="CK11" s="50">
        <v>0.7</v>
      </c>
      <c r="CM11" s="215">
        <v>16.666666666666668</v>
      </c>
      <c r="CN11" s="216">
        <v>11.660207024327663</v>
      </c>
      <c r="CO11" s="217">
        <v>4.4687195130329638</v>
      </c>
    </row>
    <row r="12" spans="1:94" ht="13.5" customHeight="1" outlineLevel="1" x14ac:dyDescent="0.25">
      <c r="B12" s="73"/>
      <c r="C12" s="73"/>
      <c r="D12" s="73"/>
      <c r="E12" s="24" t="s">
        <v>29</v>
      </c>
      <c r="F12" s="452">
        <v>200</v>
      </c>
      <c r="G12" s="74">
        <v>200</v>
      </c>
      <c r="H12" s="75">
        <v>220.00000000000003</v>
      </c>
      <c r="I12" s="57"/>
      <c r="J12" s="76"/>
      <c r="K12" s="446">
        <v>0</v>
      </c>
      <c r="L12" s="446">
        <v>0.1</v>
      </c>
      <c r="M12" s="394">
        <v>1.3522650439486139E-3</v>
      </c>
      <c r="N12" s="395">
        <v>1.2921983524471006E-3</v>
      </c>
      <c r="O12" s="396">
        <v>1.3682162129889743E-3</v>
      </c>
      <c r="P12" s="29"/>
      <c r="Q12" s="459">
        <v>0.65</v>
      </c>
      <c r="R12" s="344">
        <v>0.68250000000000011</v>
      </c>
      <c r="S12" s="344">
        <v>0.68932500000000008</v>
      </c>
      <c r="T12" s="78">
        <v>0.05</v>
      </c>
      <c r="U12" s="79">
        <v>0.01</v>
      </c>
      <c r="W12" s="464">
        <v>0.05</v>
      </c>
      <c r="X12" s="483">
        <v>0.05</v>
      </c>
      <c r="Y12" s="374">
        <v>-0.01</v>
      </c>
      <c r="AA12" s="397">
        <v>0.63157894736842102</v>
      </c>
      <c r="AB12" s="398">
        <v>0.6657894736842106</v>
      </c>
      <c r="AC12" s="399">
        <v>0.69240099009901002</v>
      </c>
      <c r="AD12" s="15"/>
      <c r="AE12" s="83">
        <v>10.526315789473685</v>
      </c>
      <c r="AF12" s="82">
        <v>10.842105263157896</v>
      </c>
      <c r="AG12" s="82">
        <v>11.38421052631579</v>
      </c>
      <c r="AH12" s="78">
        <v>0.03</v>
      </c>
      <c r="AI12" s="79">
        <v>0.05</v>
      </c>
      <c r="AJ12" s="15"/>
      <c r="AK12" s="83">
        <v>12.631578947368421</v>
      </c>
      <c r="AL12" s="82">
        <v>13.010526315789475</v>
      </c>
      <c r="AM12" s="82">
        <v>13.661052631578949</v>
      </c>
      <c r="AN12" s="436">
        <v>3.0000000000000027E-2</v>
      </c>
      <c r="AO12" s="437">
        <v>5.0000000000000044E-2</v>
      </c>
      <c r="AQ12" s="83">
        <v>10</v>
      </c>
      <c r="AR12" s="84">
        <v>10.3</v>
      </c>
      <c r="AS12" s="85">
        <v>11.498052631578949</v>
      </c>
      <c r="AT12" s="56">
        <v>3.0000000000000027E-2</v>
      </c>
      <c r="AU12" s="27">
        <v>0.11631578947368415</v>
      </c>
      <c r="AW12" s="86">
        <v>10.526315789473699</v>
      </c>
      <c r="AX12" s="74">
        <v>10.526315789473699</v>
      </c>
      <c r="AY12" s="75">
        <v>-2.1782178217821695</v>
      </c>
      <c r="BA12" s="86">
        <v>126.31578947368421</v>
      </c>
      <c r="BB12" s="74">
        <v>133.15789473684211</v>
      </c>
      <c r="BC12" s="75">
        <v>152.32821782178223</v>
      </c>
      <c r="BE12" s="87">
        <v>73.684210526315795</v>
      </c>
      <c r="BF12" s="74">
        <v>66.84210526315789</v>
      </c>
      <c r="BG12" s="75">
        <v>67.671782178217796</v>
      </c>
      <c r="BI12" s="68">
        <v>210.5263157894737</v>
      </c>
      <c r="BJ12" s="62">
        <v>210.5263157894737</v>
      </c>
      <c r="BK12" s="69">
        <v>217.82178217821786</v>
      </c>
      <c r="BM12" s="451">
        <v>20</v>
      </c>
      <c r="BN12" s="54">
        <v>19.417475728155338</v>
      </c>
      <c r="BO12" s="55">
        <v>19.133674809922045</v>
      </c>
      <c r="BP12" s="56">
        <v>-2.9126213592233108E-2</v>
      </c>
      <c r="BQ12" s="27">
        <v>-1.4615747289014602E-2</v>
      </c>
      <c r="BR12" s="394">
        <v>4.410143329658214E-3</v>
      </c>
      <c r="BS12" s="395">
        <v>4.0281603272010851E-3</v>
      </c>
      <c r="BT12" s="396">
        <v>4.0188489850165893E-3</v>
      </c>
      <c r="BV12" s="451">
        <v>4</v>
      </c>
      <c r="BW12" s="469">
        <v>4</v>
      </c>
      <c r="BX12" s="70">
        <v>0</v>
      </c>
      <c r="BY12" s="451">
        <v>4</v>
      </c>
      <c r="BZ12" s="487">
        <v>283.79512269704156</v>
      </c>
      <c r="CA12" s="70">
        <v>69.948780674260391</v>
      </c>
      <c r="CB12" s="219">
        <v>5</v>
      </c>
      <c r="CC12" s="71">
        <v>8.2001463471094489</v>
      </c>
      <c r="CD12" s="70">
        <v>0.64002926942188987</v>
      </c>
      <c r="CF12" s="475">
        <v>299.21259842519692</v>
      </c>
      <c r="CG12" s="475">
        <v>2000</v>
      </c>
      <c r="CH12" s="48">
        <v>6.4039145566524555E-2</v>
      </c>
      <c r="CI12" s="72">
        <v>22.333821157031494</v>
      </c>
      <c r="CJ12" s="72">
        <v>1511.3694805459074</v>
      </c>
      <c r="CK12" s="50">
        <v>0.7</v>
      </c>
      <c r="CM12" s="215">
        <v>5</v>
      </c>
      <c r="CN12" s="216">
        <v>0.13493957469596091</v>
      </c>
      <c r="CO12" s="217">
        <v>2.8990094968321185</v>
      </c>
    </row>
    <row r="13" spans="1:94" ht="13.5" customHeight="1" x14ac:dyDescent="0.25">
      <c r="B13" s="555" t="s">
        <v>30</v>
      </c>
      <c r="C13" s="556"/>
      <c r="D13" s="556"/>
      <c r="E13" s="557"/>
      <c r="F13" s="88">
        <v>15700</v>
      </c>
      <c r="G13" s="89">
        <v>16045</v>
      </c>
      <c r="H13" s="90">
        <v>17798</v>
      </c>
      <c r="I13" s="90"/>
      <c r="J13" s="92"/>
      <c r="K13" s="94">
        <v>2.1974522292993681E-2</v>
      </c>
      <c r="L13" s="94">
        <v>0.10925521969460883</v>
      </c>
      <c r="M13" s="366">
        <v>0.10615280594996619</v>
      </c>
      <c r="N13" s="367">
        <v>0.10366661282506864</v>
      </c>
      <c r="O13" s="94">
        <v>0.11068869163080801</v>
      </c>
      <c r="P13" s="29"/>
      <c r="Q13" s="345">
        <v>0.42353998596258818</v>
      </c>
      <c r="R13" s="365">
        <v>0.43430860573059338</v>
      </c>
      <c r="S13" s="346">
        <v>0.44902143931633653</v>
      </c>
      <c r="T13" s="97">
        <v>2.5425272996435266E-2</v>
      </c>
      <c r="U13" s="98">
        <v>3.3876449583570389E-2</v>
      </c>
      <c r="V13" s="13"/>
      <c r="W13" s="375">
        <v>6.9329896907216471E-2</v>
      </c>
      <c r="X13" s="376">
        <v>5.0000000000000024E-2</v>
      </c>
      <c r="Y13" s="377">
        <v>6.5856620728625581E-2</v>
      </c>
      <c r="AA13" s="366">
        <v>0.35421008905537171</v>
      </c>
      <c r="AB13" s="367">
        <v>0.38430860573059333</v>
      </c>
      <c r="AC13" s="94">
        <v>0.38316481858771095</v>
      </c>
      <c r="AD13" s="15"/>
      <c r="AE13" s="83">
        <v>42.707760044028618</v>
      </c>
      <c r="AF13" s="84">
        <v>45.941756904200389</v>
      </c>
      <c r="AG13" s="84">
        <v>48.764181403784455</v>
      </c>
      <c r="AH13" s="97">
        <v>7.5723869780052855E-2</v>
      </c>
      <c r="AI13" s="97">
        <v>6.1434840323357776E-2</v>
      </c>
      <c r="AJ13" s="15"/>
      <c r="AK13" s="83">
        <v>51.249312052834341</v>
      </c>
      <c r="AL13" s="84">
        <v>55.130108285040464</v>
      </c>
      <c r="AM13" s="84">
        <v>58.517017684541344</v>
      </c>
      <c r="AN13" s="97">
        <v>7.5723869780052855E-2</v>
      </c>
      <c r="AO13" s="97">
        <v>6.1434840323357776E-2</v>
      </c>
      <c r="AQ13" s="95">
        <v>39.746835443037973</v>
      </c>
      <c r="AR13" s="96">
        <v>43.644669058990367</v>
      </c>
      <c r="AS13" s="99">
        <v>45.552737203933525</v>
      </c>
      <c r="AT13" s="91">
        <v>9.8066514541477412E-2</v>
      </c>
      <c r="AU13" s="92">
        <v>4.3718240648455975E-2</v>
      </c>
      <c r="AW13" s="88">
        <v>1169.5652173913047</v>
      </c>
      <c r="AX13" s="89">
        <v>844.47368421052693</v>
      </c>
      <c r="AY13" s="90">
        <v>1254.7497115938684</v>
      </c>
      <c r="BA13" s="88">
        <v>5561.0983981693362</v>
      </c>
      <c r="BB13" s="89">
        <v>6166.2315789473696</v>
      </c>
      <c r="BC13" s="90">
        <v>6819.5674412240796</v>
      </c>
      <c r="BE13" s="88">
        <v>10138.901601830663</v>
      </c>
      <c r="BF13" s="89">
        <v>9878.7684210526313</v>
      </c>
      <c r="BG13" s="90">
        <v>10978.432558775923</v>
      </c>
      <c r="BI13" s="100">
        <v>16869.565217391304</v>
      </c>
      <c r="BJ13" s="101">
        <v>16889.473684210527</v>
      </c>
      <c r="BK13" s="102">
        <v>19052.749711593868</v>
      </c>
      <c r="BM13" s="88">
        <v>395</v>
      </c>
      <c r="BN13" s="89">
        <v>367.62794508336157</v>
      </c>
      <c r="BO13" s="90">
        <v>390.71197676488089</v>
      </c>
      <c r="BP13" s="91">
        <v>-6.9296341561109975E-2</v>
      </c>
      <c r="BQ13" s="92">
        <v>6.2791830681655281E-2</v>
      </c>
      <c r="BR13" s="366">
        <v>8.7100330760749731E-2</v>
      </c>
      <c r="BS13" s="367">
        <v>7.6264511633095694E-2</v>
      </c>
      <c r="BT13" s="94">
        <v>8.206538716969887E-2</v>
      </c>
      <c r="BV13" s="88">
        <v>33.5</v>
      </c>
      <c r="BW13" s="102">
        <v>39.4</v>
      </c>
      <c r="BX13" s="103">
        <v>0.17611940298507456</v>
      </c>
      <c r="BY13" s="88">
        <v>24</v>
      </c>
      <c r="BZ13" s="115">
        <v>414.26027736518569</v>
      </c>
      <c r="CA13" s="103">
        <v>16.26084489021607</v>
      </c>
      <c r="CB13" s="102">
        <v>24</v>
      </c>
      <c r="CC13" s="102">
        <v>160.3895908355756</v>
      </c>
      <c r="CD13" s="103">
        <v>5.6828996181489835</v>
      </c>
      <c r="CF13" s="104">
        <v>757.88822244854714</v>
      </c>
      <c r="CG13" s="104">
        <v>130000</v>
      </c>
      <c r="CH13" s="105">
        <v>0.47017966830617353</v>
      </c>
      <c r="CI13" s="104">
        <v>527.10156760045652</v>
      </c>
      <c r="CJ13" s="104">
        <v>1982418.183293713</v>
      </c>
      <c r="CK13" s="105">
        <v>0.70896546069733446</v>
      </c>
      <c r="CM13" s="290">
        <v>10.83676268861454</v>
      </c>
      <c r="CN13" s="291">
        <v>1.6776694766568183</v>
      </c>
      <c r="CO13" s="292">
        <v>4.2378962390918007</v>
      </c>
    </row>
    <row r="14" spans="1:94" ht="13.5" customHeight="1" outlineLevel="1" x14ac:dyDescent="0.25">
      <c r="B14" s="23" t="s">
        <v>22</v>
      </c>
      <c r="C14" s="23" t="s">
        <v>23</v>
      </c>
      <c r="D14" s="23" t="s">
        <v>31</v>
      </c>
      <c r="E14" s="24" t="s">
        <v>25</v>
      </c>
      <c r="F14" s="450">
        <v>4000</v>
      </c>
      <c r="G14" s="25">
        <v>4200</v>
      </c>
      <c r="H14" s="30">
        <v>4326</v>
      </c>
      <c r="I14" s="106"/>
      <c r="J14" s="107"/>
      <c r="K14" s="447">
        <v>0.05</v>
      </c>
      <c r="L14" s="447">
        <v>0.03</v>
      </c>
      <c r="M14" s="391">
        <v>2.7045300878972278E-2</v>
      </c>
      <c r="N14" s="392">
        <v>2.7136165401389113E-2</v>
      </c>
      <c r="O14" s="393">
        <v>2.6904106079046829E-2</v>
      </c>
      <c r="Q14" s="457">
        <v>0.65</v>
      </c>
      <c r="R14" s="342">
        <v>0.68250000000000011</v>
      </c>
      <c r="S14" s="342">
        <v>0.68932500000000008</v>
      </c>
      <c r="T14" s="34">
        <v>0.05</v>
      </c>
      <c r="U14" s="35">
        <v>0.01</v>
      </c>
      <c r="V14" s="29"/>
      <c r="W14" s="463">
        <v>0.05</v>
      </c>
      <c r="X14" s="482">
        <v>0.1</v>
      </c>
      <c r="Y14" s="378">
        <v>0.1</v>
      </c>
      <c r="AA14" s="400">
        <v>0.63157894736842102</v>
      </c>
      <c r="AB14" s="392">
        <v>0.64722222222222237</v>
      </c>
      <c r="AC14" s="393">
        <v>0.65480555555555564</v>
      </c>
      <c r="AD14" s="15"/>
      <c r="AE14" s="38">
        <v>168.42105263157896</v>
      </c>
      <c r="AF14" s="44">
        <v>173.47368421052633</v>
      </c>
      <c r="AG14" s="44">
        <v>182.14736842105265</v>
      </c>
      <c r="AH14" s="34">
        <v>0.03</v>
      </c>
      <c r="AI14" s="35">
        <v>0.05</v>
      </c>
      <c r="AJ14" s="15"/>
      <c r="AK14" s="38">
        <v>202.10526315789474</v>
      </c>
      <c r="AL14" s="44">
        <v>208.1684210526316</v>
      </c>
      <c r="AM14" s="44">
        <v>218.57684210526318</v>
      </c>
      <c r="AN14" s="432">
        <v>3.0000000000000027E-2</v>
      </c>
      <c r="AO14" s="433">
        <v>5.0000000000000044E-2</v>
      </c>
      <c r="AQ14" s="38">
        <v>160</v>
      </c>
      <c r="AR14" s="220">
        <v>156.12631578947369</v>
      </c>
      <c r="AS14" s="221">
        <v>163.93263157894739</v>
      </c>
      <c r="AT14" s="26">
        <v>-2.421052631578946E-2</v>
      </c>
      <c r="AU14" s="28">
        <v>5.0000000000000044E-2</v>
      </c>
      <c r="AW14" s="41">
        <v>210.52631578947421</v>
      </c>
      <c r="AX14" s="25">
        <v>466.66666666666697</v>
      </c>
      <c r="AY14" s="30">
        <v>480.66666666666697</v>
      </c>
      <c r="BA14" s="41">
        <v>2526.3157894736842</v>
      </c>
      <c r="BB14" s="25">
        <v>2718.3333333333339</v>
      </c>
      <c r="BC14" s="30">
        <v>2832.6888333333336</v>
      </c>
      <c r="BE14" s="42">
        <v>1473.6842105263158</v>
      </c>
      <c r="BF14" s="54">
        <v>1481.6666666666661</v>
      </c>
      <c r="BG14" s="55">
        <v>1493.3111666666664</v>
      </c>
      <c r="BI14" s="43">
        <v>4210.5263157894742</v>
      </c>
      <c r="BJ14" s="44">
        <v>4666.666666666667</v>
      </c>
      <c r="BK14" s="45">
        <v>4806.666666666667</v>
      </c>
      <c r="BM14" s="450">
        <v>25</v>
      </c>
      <c r="BN14" s="54">
        <v>26.901294498381876</v>
      </c>
      <c r="BO14" s="55">
        <v>26.388888888888886</v>
      </c>
      <c r="BP14" s="26">
        <v>7.6051779935275121E-2</v>
      </c>
      <c r="BQ14" s="28">
        <v>-1.9047619047619091E-2</v>
      </c>
      <c r="BR14" s="391">
        <v>5.512679162072767E-3</v>
      </c>
      <c r="BS14" s="392">
        <v>5.580680453309836E-3</v>
      </c>
      <c r="BT14" s="393">
        <v>5.5427386730661568E-3</v>
      </c>
      <c r="BV14" s="450">
        <v>4</v>
      </c>
      <c r="BW14" s="470">
        <v>4</v>
      </c>
      <c r="BX14" s="46">
        <v>0</v>
      </c>
      <c r="BY14" s="450">
        <v>4</v>
      </c>
      <c r="BZ14" s="243">
        <v>287.43494467848109</v>
      </c>
      <c r="CA14" s="46">
        <v>70.858736169620272</v>
      </c>
      <c r="CB14" s="109">
        <v>5</v>
      </c>
      <c r="CC14" s="243">
        <v>11.30952380952381</v>
      </c>
      <c r="CD14" s="46">
        <v>1.2619047619047619</v>
      </c>
      <c r="CF14" s="474">
        <v>310.33623917686299</v>
      </c>
      <c r="CG14" s="474">
        <v>45981.486104705182</v>
      </c>
      <c r="CH14" s="247">
        <v>8.5581269817399955E-2</v>
      </c>
      <c r="CI14" s="49">
        <v>32.698412698412696</v>
      </c>
      <c r="CJ14" s="49">
        <v>48828.904814814799</v>
      </c>
      <c r="CK14" s="225">
        <v>0.7</v>
      </c>
      <c r="CM14" s="214">
        <v>6.25</v>
      </c>
      <c r="CN14" s="51">
        <v>0.18461268965573166</v>
      </c>
      <c r="CO14" s="226">
        <v>3.2360097323600967</v>
      </c>
    </row>
    <row r="15" spans="1:94" ht="13.5" customHeight="1" outlineLevel="1" x14ac:dyDescent="0.25">
      <c r="A15" s="554" t="s">
        <v>166</v>
      </c>
      <c r="B15" s="53" t="s">
        <v>22</v>
      </c>
      <c r="C15" s="53" t="s">
        <v>23</v>
      </c>
      <c r="D15" s="53" t="s">
        <v>31</v>
      </c>
      <c r="E15" s="24" t="s">
        <v>26</v>
      </c>
      <c r="F15" s="451">
        <v>5000</v>
      </c>
      <c r="G15" s="54">
        <v>5250</v>
      </c>
      <c r="H15" s="55">
        <v>5407.5</v>
      </c>
      <c r="I15" s="110"/>
      <c r="J15" s="111"/>
      <c r="K15" s="448">
        <v>0.05</v>
      </c>
      <c r="L15" s="448">
        <v>0.03</v>
      </c>
      <c r="M15" s="394">
        <v>3.3806626098715348E-2</v>
      </c>
      <c r="N15" s="395">
        <v>3.392020675173639E-2</v>
      </c>
      <c r="O15" s="396">
        <v>3.3630132598808538E-2</v>
      </c>
      <c r="P15" s="29"/>
      <c r="Q15" s="458">
        <v>0.65</v>
      </c>
      <c r="R15" s="343">
        <v>0.68250000000000011</v>
      </c>
      <c r="S15" s="343">
        <v>0.68932500000000008</v>
      </c>
      <c r="T15" s="60">
        <v>0.05</v>
      </c>
      <c r="U15" s="37">
        <v>0.01</v>
      </c>
      <c r="W15" s="464">
        <v>0.05</v>
      </c>
      <c r="X15" s="483">
        <v>0.1</v>
      </c>
      <c r="Y15" s="374">
        <v>0.1</v>
      </c>
      <c r="AA15" s="401">
        <v>0.63157894736842102</v>
      </c>
      <c r="AB15" s="395">
        <v>0.64722222222222237</v>
      </c>
      <c r="AC15" s="396">
        <v>0.65480555555555564</v>
      </c>
      <c r="AD15" s="15"/>
      <c r="AE15" s="63">
        <v>263.15789473684214</v>
      </c>
      <c r="AF15" s="62">
        <v>271.0526315789474</v>
      </c>
      <c r="AG15" s="62">
        <v>284.6052631578948</v>
      </c>
      <c r="AH15" s="60">
        <v>0.03</v>
      </c>
      <c r="AI15" s="37">
        <v>0.05</v>
      </c>
      <c r="AJ15" s="15"/>
      <c r="AK15" s="63">
        <v>315.78947368421058</v>
      </c>
      <c r="AL15" s="62">
        <v>325.26315789473688</v>
      </c>
      <c r="AM15" s="62">
        <v>341.52631578947376</v>
      </c>
      <c r="AN15" s="434">
        <v>3.0000000000000027E-2</v>
      </c>
      <c r="AO15" s="435">
        <v>5.0000000000000044E-2</v>
      </c>
      <c r="AQ15" s="63">
        <v>250.00000000000003</v>
      </c>
      <c r="AR15" s="64">
        <v>243.94736842105266</v>
      </c>
      <c r="AS15" s="65">
        <v>256.14473684210532</v>
      </c>
      <c r="AT15" s="56">
        <v>-2.421052631578946E-2</v>
      </c>
      <c r="AU15" s="27">
        <v>5.0000000000000044E-2</v>
      </c>
      <c r="AW15" s="66">
        <v>263.15789473684254</v>
      </c>
      <c r="AX15" s="54">
        <v>583.33333333333303</v>
      </c>
      <c r="AY15" s="55">
        <v>600.83333333333303</v>
      </c>
      <c r="BA15" s="66">
        <v>3157.894736842105</v>
      </c>
      <c r="BB15" s="54">
        <v>3397.9166666666674</v>
      </c>
      <c r="BC15" s="55">
        <v>3540.861041666667</v>
      </c>
      <c r="BE15" s="67">
        <v>1842.105263157895</v>
      </c>
      <c r="BF15" s="54">
        <v>1852.0833333333326</v>
      </c>
      <c r="BG15" s="55">
        <v>1866.638958333333</v>
      </c>
      <c r="BI15" s="68">
        <v>5263.1578947368425</v>
      </c>
      <c r="BJ15" s="62">
        <v>5833.333333333333</v>
      </c>
      <c r="BK15" s="69">
        <v>6008.333333333333</v>
      </c>
      <c r="BM15" s="451">
        <v>20</v>
      </c>
      <c r="BN15" s="54">
        <v>21.521035598705499</v>
      </c>
      <c r="BO15" s="55">
        <v>21.111111111111107</v>
      </c>
      <c r="BP15" s="56">
        <v>7.6051779935274899E-2</v>
      </c>
      <c r="BQ15" s="27">
        <v>-1.9047619047619091E-2</v>
      </c>
      <c r="BR15" s="394">
        <v>4.410143329658214E-3</v>
      </c>
      <c r="BS15" s="395">
        <v>4.4645443626478683E-3</v>
      </c>
      <c r="BT15" s="396">
        <v>4.4341909384529249E-3</v>
      </c>
      <c r="BV15" s="451">
        <v>4</v>
      </c>
      <c r="BW15" s="469">
        <v>4</v>
      </c>
      <c r="BX15" s="70">
        <v>0</v>
      </c>
      <c r="BY15" s="451">
        <v>4</v>
      </c>
      <c r="BZ15" s="71">
        <v>230.74795574278491</v>
      </c>
      <c r="CA15" s="70">
        <v>56.686988935696228</v>
      </c>
      <c r="CB15" s="113">
        <v>5</v>
      </c>
      <c r="CC15" s="71">
        <v>9.0476190476190474</v>
      </c>
      <c r="CD15" s="70">
        <v>0.80952380952380953</v>
      </c>
      <c r="CF15" s="475">
        <v>248.26899134149042</v>
      </c>
      <c r="CG15" s="475">
        <v>45981.486104705182</v>
      </c>
      <c r="CH15" s="248">
        <v>8.5309872942620185E-2</v>
      </c>
      <c r="CI15" s="72">
        <v>25.158730158730155</v>
      </c>
      <c r="CJ15" s="72">
        <v>46962.265856481463</v>
      </c>
      <c r="CK15" s="227">
        <v>0.7</v>
      </c>
      <c r="CM15" s="215">
        <v>5</v>
      </c>
      <c r="CN15" s="216">
        <v>0.18335440264524611</v>
      </c>
      <c r="CO15" s="217">
        <v>3.0056497175141237</v>
      </c>
    </row>
    <row r="16" spans="1:94" ht="13.5" customHeight="1" outlineLevel="1" x14ac:dyDescent="0.25">
      <c r="A16" s="494" t="s">
        <v>168</v>
      </c>
      <c r="B16" s="53" t="s">
        <v>22</v>
      </c>
      <c r="C16" s="53" t="s">
        <v>23</v>
      </c>
      <c r="D16" s="53" t="s">
        <v>31</v>
      </c>
      <c r="E16" s="24" t="s">
        <v>32</v>
      </c>
      <c r="F16" s="451">
        <v>10000</v>
      </c>
      <c r="G16" s="54">
        <v>10500</v>
      </c>
      <c r="H16" s="55">
        <v>10815</v>
      </c>
      <c r="I16" s="110"/>
      <c r="J16" s="111"/>
      <c r="K16" s="448">
        <v>0.05</v>
      </c>
      <c r="L16" s="448">
        <v>0.03</v>
      </c>
      <c r="M16" s="394">
        <v>6.7613252197430695E-2</v>
      </c>
      <c r="N16" s="395">
        <v>6.784041350347278E-2</v>
      </c>
      <c r="O16" s="396">
        <v>6.7260265197617075E-2</v>
      </c>
      <c r="P16" s="29"/>
      <c r="Q16" s="458">
        <v>0.65</v>
      </c>
      <c r="R16" s="343">
        <v>0.68250000000000011</v>
      </c>
      <c r="S16" s="343">
        <v>0.68932500000000008</v>
      </c>
      <c r="T16" s="60">
        <v>0.05</v>
      </c>
      <c r="U16" s="37">
        <v>0.01</v>
      </c>
      <c r="W16" s="464">
        <v>0.05</v>
      </c>
      <c r="X16" s="483">
        <v>0.1</v>
      </c>
      <c r="Y16" s="374">
        <v>0.1</v>
      </c>
      <c r="AA16" s="401">
        <v>0.63157894736842102</v>
      </c>
      <c r="AB16" s="395">
        <v>0.64722222222222237</v>
      </c>
      <c r="AC16" s="396">
        <v>0.65480555555555564</v>
      </c>
      <c r="AD16" s="15"/>
      <c r="AE16" s="63">
        <v>100.25062656641605</v>
      </c>
      <c r="AF16" s="62">
        <v>103.25814536340853</v>
      </c>
      <c r="AG16" s="62">
        <v>108.42105263157896</v>
      </c>
      <c r="AH16" s="60">
        <v>0.03</v>
      </c>
      <c r="AI16" s="37">
        <v>0.05</v>
      </c>
      <c r="AJ16" s="15"/>
      <c r="AK16" s="63">
        <v>120.30075187969925</v>
      </c>
      <c r="AL16" s="62">
        <v>123.90977443609023</v>
      </c>
      <c r="AM16" s="62">
        <v>130.10526315789474</v>
      </c>
      <c r="AN16" s="434">
        <v>3.0000000000000027E-2</v>
      </c>
      <c r="AO16" s="435">
        <v>5.0000000000000044E-2</v>
      </c>
      <c r="AQ16" s="63">
        <v>95.238095238095241</v>
      </c>
      <c r="AR16" s="64">
        <v>92.932330827067673</v>
      </c>
      <c r="AS16" s="65">
        <v>97.578947368421069</v>
      </c>
      <c r="AT16" s="56">
        <v>-2.421052631578946E-2</v>
      </c>
      <c r="AU16" s="27">
        <v>5.0000000000000044E-2</v>
      </c>
      <c r="AW16" s="66">
        <v>526.31578947368507</v>
      </c>
      <c r="AX16" s="54">
        <v>1166.6666666666661</v>
      </c>
      <c r="AY16" s="55">
        <v>1201.6666666666661</v>
      </c>
      <c r="BA16" s="66">
        <v>6315.78947368421</v>
      </c>
      <c r="BB16" s="54">
        <v>6795.8333333333348</v>
      </c>
      <c r="BC16" s="55">
        <v>7081.722083333334</v>
      </c>
      <c r="BE16" s="67">
        <v>3684.21052631579</v>
      </c>
      <c r="BF16" s="54">
        <v>3704.1666666666652</v>
      </c>
      <c r="BG16" s="55">
        <v>3733.277916666666</v>
      </c>
      <c r="BI16" s="68">
        <v>10526.315789473685</v>
      </c>
      <c r="BJ16" s="62">
        <v>11666.666666666666</v>
      </c>
      <c r="BK16" s="69">
        <v>12016.666666666666</v>
      </c>
      <c r="BM16" s="451">
        <v>105</v>
      </c>
      <c r="BN16" s="54">
        <v>112.98543689320388</v>
      </c>
      <c r="BO16" s="55">
        <v>110.83333333333331</v>
      </c>
      <c r="BP16" s="56">
        <v>7.6051779935275121E-2</v>
      </c>
      <c r="BQ16" s="27">
        <v>-1.9047619047619202E-2</v>
      </c>
      <c r="BR16" s="394">
        <v>2.3153252480705624E-2</v>
      </c>
      <c r="BS16" s="395">
        <v>2.3438857903901312E-2</v>
      </c>
      <c r="BT16" s="396">
        <v>2.3279502426877857E-2</v>
      </c>
      <c r="BV16" s="451">
        <v>4</v>
      </c>
      <c r="BW16" s="469">
        <v>4</v>
      </c>
      <c r="BX16" s="70">
        <v>0</v>
      </c>
      <c r="BY16" s="451">
        <v>4</v>
      </c>
      <c r="BZ16" s="71">
        <v>25.997690215907539</v>
      </c>
      <c r="CA16" s="70">
        <v>5.4994225539768848</v>
      </c>
      <c r="CB16" s="113">
        <v>5</v>
      </c>
      <c r="CC16" s="71">
        <v>47.5</v>
      </c>
      <c r="CD16" s="70">
        <v>8.5</v>
      </c>
      <c r="CF16" s="475">
        <v>134.98312710911142</v>
      </c>
      <c r="CG16" s="475">
        <v>50000</v>
      </c>
      <c r="CH16" s="248">
        <v>0.81294355108661831</v>
      </c>
      <c r="CI16" s="72">
        <v>153.33333333333331</v>
      </c>
      <c r="CJ16" s="72">
        <v>572435.94722222199</v>
      </c>
      <c r="CK16" s="227">
        <v>0.7</v>
      </c>
      <c r="CM16" s="215">
        <v>26.25</v>
      </c>
      <c r="CN16" s="216">
        <v>7.5329424419009827</v>
      </c>
      <c r="CO16" s="217">
        <v>4.2222222222222214</v>
      </c>
    </row>
    <row r="17" spans="1:93" ht="13.5" customHeight="1" outlineLevel="1" x14ac:dyDescent="0.25">
      <c r="A17" s="2" t="s">
        <v>169</v>
      </c>
      <c r="B17" s="53" t="s">
        <v>22</v>
      </c>
      <c r="C17" s="53" t="s">
        <v>23</v>
      </c>
      <c r="D17" s="53" t="s">
        <v>31</v>
      </c>
      <c r="E17" s="24" t="s">
        <v>27</v>
      </c>
      <c r="F17" s="451">
        <v>2000</v>
      </c>
      <c r="G17" s="54">
        <v>2100</v>
      </c>
      <c r="H17" s="55">
        <v>2163</v>
      </c>
      <c r="I17" s="110"/>
      <c r="J17" s="111"/>
      <c r="K17" s="448">
        <v>0.05</v>
      </c>
      <c r="L17" s="448">
        <v>0.03</v>
      </c>
      <c r="M17" s="394">
        <v>1.3522650439486139E-2</v>
      </c>
      <c r="N17" s="395">
        <v>1.3568082700694557E-2</v>
      </c>
      <c r="O17" s="396">
        <v>1.3452053039523414E-2</v>
      </c>
      <c r="P17" s="114"/>
      <c r="Q17" s="458">
        <v>0.65</v>
      </c>
      <c r="R17" s="343">
        <v>0.68250000000000011</v>
      </c>
      <c r="S17" s="343">
        <v>0.68932500000000008</v>
      </c>
      <c r="T17" s="60">
        <v>0.05</v>
      </c>
      <c r="U17" s="37">
        <v>0.01</v>
      </c>
      <c r="W17" s="464">
        <v>0.05</v>
      </c>
      <c r="X17" s="483">
        <v>0.1</v>
      </c>
      <c r="Y17" s="374">
        <v>0.1</v>
      </c>
      <c r="AA17" s="401">
        <v>0.63157894736842102</v>
      </c>
      <c r="AB17" s="395">
        <v>0.64722222222222237</v>
      </c>
      <c r="AC17" s="396">
        <v>0.65480555555555564</v>
      </c>
      <c r="AD17" s="15"/>
      <c r="AE17" s="63">
        <v>84.21052631578948</v>
      </c>
      <c r="AF17" s="62">
        <v>86.736842105263165</v>
      </c>
      <c r="AG17" s="62">
        <v>91.073684210526324</v>
      </c>
      <c r="AH17" s="60">
        <v>0.03</v>
      </c>
      <c r="AI17" s="37">
        <v>0.05</v>
      </c>
      <c r="AJ17" s="15"/>
      <c r="AK17" s="63">
        <v>101.05263157894737</v>
      </c>
      <c r="AL17" s="62">
        <v>104.0842105263158</v>
      </c>
      <c r="AM17" s="62">
        <v>109.28842105263159</v>
      </c>
      <c r="AN17" s="434">
        <v>3.0000000000000027E-2</v>
      </c>
      <c r="AO17" s="435">
        <v>5.0000000000000044E-2</v>
      </c>
      <c r="AQ17" s="63">
        <v>80</v>
      </c>
      <c r="AR17" s="64">
        <v>78.063157894736847</v>
      </c>
      <c r="AS17" s="65">
        <v>81.966315789473697</v>
      </c>
      <c r="AT17" s="56">
        <v>-2.421052631578946E-2</v>
      </c>
      <c r="AU17" s="27">
        <v>5.0000000000000044E-2</v>
      </c>
      <c r="AW17" s="66">
        <v>105.26315789473711</v>
      </c>
      <c r="AX17" s="54">
        <v>233.33333333333348</v>
      </c>
      <c r="AY17" s="55">
        <v>240.33333333333348</v>
      </c>
      <c r="BA17" s="66">
        <v>1263.1578947368421</v>
      </c>
      <c r="BB17" s="54">
        <v>1359.166666666667</v>
      </c>
      <c r="BC17" s="55">
        <v>1416.3444166666668</v>
      </c>
      <c r="BE17" s="67">
        <v>736.84210526315792</v>
      </c>
      <c r="BF17" s="54">
        <v>740.83333333333303</v>
      </c>
      <c r="BG17" s="55">
        <v>746.6555833333332</v>
      </c>
      <c r="BI17" s="68">
        <v>2105.2631578947371</v>
      </c>
      <c r="BJ17" s="62">
        <v>2333.3333333333335</v>
      </c>
      <c r="BK17" s="69">
        <v>2403.3333333333335</v>
      </c>
      <c r="BM17" s="451">
        <v>25</v>
      </c>
      <c r="BN17" s="54">
        <v>26.901294498381876</v>
      </c>
      <c r="BO17" s="55">
        <v>26.388888888888886</v>
      </c>
      <c r="BP17" s="56">
        <v>7.6051779935275121E-2</v>
      </c>
      <c r="BQ17" s="27">
        <v>-1.9047619047619091E-2</v>
      </c>
      <c r="BR17" s="394">
        <v>5.512679162072767E-3</v>
      </c>
      <c r="BS17" s="395">
        <v>5.580680453309836E-3</v>
      </c>
      <c r="BT17" s="396">
        <v>5.5427386730661568E-3</v>
      </c>
      <c r="BV17" s="451">
        <v>4</v>
      </c>
      <c r="BW17" s="469">
        <v>4</v>
      </c>
      <c r="BX17" s="70">
        <v>0</v>
      </c>
      <c r="BY17" s="451">
        <v>4</v>
      </c>
      <c r="BZ17" s="71">
        <v>597.77118385534413</v>
      </c>
      <c r="CA17" s="70">
        <v>148.44279596383603</v>
      </c>
      <c r="CB17" s="113">
        <v>5</v>
      </c>
      <c r="CC17" s="71">
        <v>11.30952380952381</v>
      </c>
      <c r="CD17" s="70">
        <v>1.2619047619047619</v>
      </c>
      <c r="CF17" s="475">
        <v>620.67247835372598</v>
      </c>
      <c r="CG17" s="475">
        <v>45981.486104705182</v>
      </c>
      <c r="CH17" s="248">
        <v>4.3064638559518538E-2</v>
      </c>
      <c r="CI17" s="72">
        <v>32.698412698412696</v>
      </c>
      <c r="CJ17" s="72">
        <v>24414.4524074074</v>
      </c>
      <c r="CK17" s="227">
        <v>0.7</v>
      </c>
      <c r="CM17" s="215">
        <v>6.25</v>
      </c>
      <c r="CN17" s="216">
        <v>8.9407054442302791E-2</v>
      </c>
      <c r="CO17" s="217">
        <v>3.2360097323600967</v>
      </c>
    </row>
    <row r="18" spans="1:93" ht="13.5" customHeight="1" outlineLevel="1" x14ac:dyDescent="0.25">
      <c r="A18" s="19" t="s">
        <v>170</v>
      </c>
      <c r="B18" s="53" t="s">
        <v>22</v>
      </c>
      <c r="C18" s="53" t="s">
        <v>23</v>
      </c>
      <c r="D18" s="53" t="s">
        <v>31</v>
      </c>
      <c r="E18" s="24" t="s">
        <v>28</v>
      </c>
      <c r="F18" s="451">
        <v>6000</v>
      </c>
      <c r="G18" s="54">
        <v>6300</v>
      </c>
      <c r="H18" s="55">
        <v>6489</v>
      </c>
      <c r="I18" s="110"/>
      <c r="J18" s="111"/>
      <c r="K18" s="448">
        <v>0.05</v>
      </c>
      <c r="L18" s="448">
        <v>0.03</v>
      </c>
      <c r="M18" s="394">
        <v>4.0567951318458417E-2</v>
      </c>
      <c r="N18" s="395">
        <v>4.0704248102083673E-2</v>
      </c>
      <c r="O18" s="396">
        <v>4.035615911857024E-2</v>
      </c>
      <c r="Q18" s="458">
        <v>0.65</v>
      </c>
      <c r="R18" s="343">
        <v>0.68250000000000011</v>
      </c>
      <c r="S18" s="343">
        <v>0.68932500000000008</v>
      </c>
      <c r="T18" s="60">
        <v>0.05</v>
      </c>
      <c r="U18" s="37">
        <v>0.01</v>
      </c>
      <c r="W18" s="464">
        <v>0.05</v>
      </c>
      <c r="X18" s="483">
        <v>0.1</v>
      </c>
      <c r="Y18" s="374">
        <v>0.1</v>
      </c>
      <c r="AA18" s="401">
        <v>0.63157894736842102</v>
      </c>
      <c r="AB18" s="395">
        <v>0.64722222222222237</v>
      </c>
      <c r="AC18" s="396">
        <v>0.65480555555555564</v>
      </c>
      <c r="AD18" s="15"/>
      <c r="AE18" s="63">
        <v>180.45112781954887</v>
      </c>
      <c r="AF18" s="62">
        <v>185.86466165413535</v>
      </c>
      <c r="AG18" s="62">
        <v>195.15789473684211</v>
      </c>
      <c r="AH18" s="60">
        <v>0.03</v>
      </c>
      <c r="AI18" s="37">
        <v>0.05</v>
      </c>
      <c r="AJ18" s="15"/>
      <c r="AK18" s="63">
        <v>216.54135338345864</v>
      </c>
      <c r="AL18" s="62">
        <v>223.0375939849624</v>
      </c>
      <c r="AM18" s="62">
        <v>234.18947368421053</v>
      </c>
      <c r="AN18" s="434">
        <v>3.0000000000000027E-2</v>
      </c>
      <c r="AO18" s="435">
        <v>5.0000000000000044E-2</v>
      </c>
      <c r="AQ18" s="63">
        <v>171.42857142857142</v>
      </c>
      <c r="AR18" s="64">
        <v>167.27819548872182</v>
      </c>
      <c r="AS18" s="65">
        <v>175.6421052631579</v>
      </c>
      <c r="AT18" s="56">
        <v>-2.4210526315789349E-2</v>
      </c>
      <c r="AU18" s="27">
        <v>5.0000000000000044E-2</v>
      </c>
      <c r="AW18" s="66">
        <v>315.78947368421086</v>
      </c>
      <c r="AX18" s="54">
        <v>700</v>
      </c>
      <c r="AY18" s="55">
        <v>721</v>
      </c>
      <c r="BA18" s="66">
        <v>3789.4736842105262</v>
      </c>
      <c r="BB18" s="54">
        <v>4077.5000000000009</v>
      </c>
      <c r="BC18" s="55">
        <v>4249.0332500000004</v>
      </c>
      <c r="BE18" s="67">
        <v>2210.5263157894738</v>
      </c>
      <c r="BF18" s="54">
        <v>2222.4999999999991</v>
      </c>
      <c r="BG18" s="55">
        <v>2239.9667499999996</v>
      </c>
      <c r="BI18" s="68">
        <v>6315.7894736842109</v>
      </c>
      <c r="BJ18" s="62">
        <v>7000</v>
      </c>
      <c r="BK18" s="69">
        <v>7210</v>
      </c>
      <c r="BM18" s="451">
        <v>35</v>
      </c>
      <c r="BN18" s="54">
        <v>37.661812297734627</v>
      </c>
      <c r="BO18" s="55">
        <v>36.944444444444443</v>
      </c>
      <c r="BP18" s="56">
        <v>7.6051779935275121E-2</v>
      </c>
      <c r="BQ18" s="27">
        <v>-1.9047619047619091E-2</v>
      </c>
      <c r="BR18" s="394">
        <v>7.717750826901874E-3</v>
      </c>
      <c r="BS18" s="395">
        <v>7.8129526346337706E-3</v>
      </c>
      <c r="BT18" s="396">
        <v>7.7598341422926197E-3</v>
      </c>
      <c r="BV18" s="451">
        <v>4</v>
      </c>
      <c r="BW18" s="469">
        <v>4</v>
      </c>
      <c r="BX18" s="70">
        <v>0</v>
      </c>
      <c r="BY18" s="451">
        <v>4</v>
      </c>
      <c r="BZ18" s="71">
        <v>173.22901382017403</v>
      </c>
      <c r="CA18" s="70">
        <v>42.307253455043508</v>
      </c>
      <c r="CB18" s="113">
        <v>5</v>
      </c>
      <c r="CC18" s="71">
        <v>15.833333333333336</v>
      </c>
      <c r="CD18" s="70">
        <v>2.166666666666667</v>
      </c>
      <c r="CF18" s="475">
        <v>206.89082611790866</v>
      </c>
      <c r="CG18" s="475">
        <v>45981.486104705182</v>
      </c>
      <c r="CH18" s="248">
        <v>0.17858440308199078</v>
      </c>
      <c r="CI18" s="72">
        <v>47.777777777777779</v>
      </c>
      <c r="CJ18" s="72">
        <v>107020.63361111109</v>
      </c>
      <c r="CK18" s="227">
        <v>0.7</v>
      </c>
      <c r="CM18" s="215">
        <v>8.75</v>
      </c>
      <c r="CN18" s="216">
        <v>0.42500729971841184</v>
      </c>
      <c r="CO18" s="217">
        <v>3.546666666666666</v>
      </c>
    </row>
    <row r="19" spans="1:93" ht="13.5" customHeight="1" outlineLevel="1" x14ac:dyDescent="0.25">
      <c r="B19" s="73" t="s">
        <v>22</v>
      </c>
      <c r="C19" s="73" t="s">
        <v>23</v>
      </c>
      <c r="D19" s="73" t="s">
        <v>31</v>
      </c>
      <c r="E19" s="24" t="s">
        <v>29</v>
      </c>
      <c r="F19" s="451">
        <v>400</v>
      </c>
      <c r="G19" s="54">
        <v>420</v>
      </c>
      <c r="H19" s="55">
        <v>432.6</v>
      </c>
      <c r="I19" s="110"/>
      <c r="J19" s="111"/>
      <c r="K19" s="448">
        <v>0.05</v>
      </c>
      <c r="L19" s="448">
        <v>0.03</v>
      </c>
      <c r="M19" s="394">
        <v>2.7045300878972278E-3</v>
      </c>
      <c r="N19" s="395">
        <v>2.7136165401389113E-3</v>
      </c>
      <c r="O19" s="396">
        <v>2.690410607904683E-3</v>
      </c>
      <c r="Q19" s="458">
        <v>0.65</v>
      </c>
      <c r="R19" s="343">
        <v>0.68250000000000011</v>
      </c>
      <c r="S19" s="343">
        <v>0.68932500000000008</v>
      </c>
      <c r="T19" s="60">
        <v>0.05</v>
      </c>
      <c r="U19" s="37">
        <v>0.01</v>
      </c>
      <c r="W19" s="464">
        <v>0.05</v>
      </c>
      <c r="X19" s="483">
        <v>0.1</v>
      </c>
      <c r="Y19" s="374">
        <v>0.1</v>
      </c>
      <c r="AA19" s="401">
        <v>0.63157894736842102</v>
      </c>
      <c r="AB19" s="395">
        <v>0.64722222222222237</v>
      </c>
      <c r="AC19" s="396">
        <v>0.65480555555555564</v>
      </c>
      <c r="AD19" s="15"/>
      <c r="AE19" s="63">
        <v>42.10526315789474</v>
      </c>
      <c r="AF19" s="62">
        <v>43.368421052631582</v>
      </c>
      <c r="AG19" s="62">
        <v>45.536842105263162</v>
      </c>
      <c r="AH19" s="60">
        <v>0.03</v>
      </c>
      <c r="AI19" s="37">
        <v>0.05</v>
      </c>
      <c r="AJ19" s="15"/>
      <c r="AK19" s="63">
        <v>50.526315789473685</v>
      </c>
      <c r="AL19" s="62">
        <v>52.0421052631579</v>
      </c>
      <c r="AM19" s="62">
        <v>54.644210526315796</v>
      </c>
      <c r="AN19" s="434">
        <v>3.0000000000000027E-2</v>
      </c>
      <c r="AO19" s="435">
        <v>5.0000000000000044E-2</v>
      </c>
      <c r="AQ19" s="63">
        <v>40</v>
      </c>
      <c r="AR19" s="64">
        <v>39.031578947368423</v>
      </c>
      <c r="AS19" s="65">
        <v>40.983157894736848</v>
      </c>
      <c r="AT19" s="56">
        <v>-2.421052631578946E-2</v>
      </c>
      <c r="AU19" s="27">
        <v>5.0000000000000044E-2</v>
      </c>
      <c r="AW19" s="66">
        <v>21.052631578947398</v>
      </c>
      <c r="AX19" s="54">
        <v>46.666666666666629</v>
      </c>
      <c r="AY19" s="55">
        <v>48.066666666666663</v>
      </c>
      <c r="BA19" s="66">
        <v>252.63157894736841</v>
      </c>
      <c r="BB19" s="54">
        <v>271.83333333333337</v>
      </c>
      <c r="BC19" s="55">
        <v>283.26888333333341</v>
      </c>
      <c r="BE19" s="67">
        <v>147.36842105263159</v>
      </c>
      <c r="BF19" s="54">
        <v>148.16666666666663</v>
      </c>
      <c r="BG19" s="55">
        <v>149.33111666666662</v>
      </c>
      <c r="BI19" s="68">
        <v>421.0526315789474</v>
      </c>
      <c r="BJ19" s="62">
        <v>466.66666666666663</v>
      </c>
      <c r="BK19" s="69">
        <v>480.66666666666669</v>
      </c>
      <c r="BM19" s="451">
        <v>10</v>
      </c>
      <c r="BN19" s="54">
        <v>10.760517799352749</v>
      </c>
      <c r="BO19" s="55">
        <v>10.555555555555555</v>
      </c>
      <c r="BP19" s="56">
        <v>7.6051779935274899E-2</v>
      </c>
      <c r="BQ19" s="27">
        <v>-1.904761904761898E-2</v>
      </c>
      <c r="BR19" s="394">
        <v>2.205071664829107E-3</v>
      </c>
      <c r="BS19" s="395">
        <v>2.2322721813239342E-3</v>
      </c>
      <c r="BT19" s="396">
        <v>2.2170954692264629E-3</v>
      </c>
      <c r="BV19" s="451">
        <v>4</v>
      </c>
      <c r="BW19" s="469">
        <v>4</v>
      </c>
      <c r="BX19" s="70">
        <v>0</v>
      </c>
      <c r="BY19" s="451">
        <v>4</v>
      </c>
      <c r="BZ19" s="71">
        <v>3096.6018739692763</v>
      </c>
      <c r="CA19" s="70">
        <v>773.15046849231908</v>
      </c>
      <c r="CB19" s="113">
        <v>5</v>
      </c>
      <c r="CC19" s="71">
        <v>4.5238095238095255</v>
      </c>
      <c r="CD19" s="70">
        <v>-9.52380952380949E-2</v>
      </c>
      <c r="CF19" s="475">
        <v>3103.3623917686291</v>
      </c>
      <c r="CG19" s="475">
        <v>45981.486104705182</v>
      </c>
      <c r="CH19" s="248">
        <v>3.4629104824906326E-3</v>
      </c>
      <c r="CI19" s="72">
        <v>10.079365079365081</v>
      </c>
      <c r="CJ19" s="72">
        <v>1505.1628425925924</v>
      </c>
      <c r="CK19" s="227">
        <v>0.7</v>
      </c>
      <c r="CM19" s="215">
        <v>2.5</v>
      </c>
      <c r="CN19" s="216">
        <v>6.94092194789106E-3</v>
      </c>
      <c r="CO19" s="217">
        <v>2.2166666666666663</v>
      </c>
    </row>
    <row r="20" spans="1:93" ht="13.5" customHeight="1" x14ac:dyDescent="0.25">
      <c r="B20" s="540" t="s">
        <v>33</v>
      </c>
      <c r="C20" s="540"/>
      <c r="D20" s="540"/>
      <c r="E20" s="540"/>
      <c r="F20" s="88">
        <v>27400</v>
      </c>
      <c r="G20" s="89">
        <v>28770</v>
      </c>
      <c r="H20" s="90">
        <v>29633.1</v>
      </c>
      <c r="I20" s="90"/>
      <c r="J20" s="92"/>
      <c r="K20" s="94">
        <v>5.0000000000000044E-2</v>
      </c>
      <c r="L20" s="94">
        <v>3.0000000000000027E-2</v>
      </c>
      <c r="M20" s="366">
        <v>0.18526031102096011</v>
      </c>
      <c r="N20" s="367">
        <v>0.18588273299951544</v>
      </c>
      <c r="O20" s="94">
        <v>0.18429312664147077</v>
      </c>
      <c r="Q20" s="345">
        <v>0.68157894736842095</v>
      </c>
      <c r="R20" s="346">
        <v>0.74722222222222223</v>
      </c>
      <c r="S20" s="346">
        <v>0.75480555555555562</v>
      </c>
      <c r="T20" s="97">
        <v>9.6310596310596575E-2</v>
      </c>
      <c r="U20" s="98">
        <v>1.0148698884758334E-2</v>
      </c>
      <c r="V20" s="13"/>
      <c r="W20" s="375">
        <v>4.9999999999999947E-2</v>
      </c>
      <c r="X20" s="376">
        <v>9.9999999999999936E-2</v>
      </c>
      <c r="Y20" s="377">
        <v>9.9999999999999978E-2</v>
      </c>
      <c r="AA20" s="366">
        <v>0.63157894736842102</v>
      </c>
      <c r="AB20" s="367">
        <v>0.64722222222222225</v>
      </c>
      <c r="AC20" s="94">
        <v>0.65480555555555564</v>
      </c>
      <c r="AD20" s="15"/>
      <c r="AE20" s="95">
        <v>131.10047846889952</v>
      </c>
      <c r="AF20" s="96">
        <v>135.03349282296651</v>
      </c>
      <c r="AG20" s="96">
        <v>141.78516746411486</v>
      </c>
      <c r="AH20" s="97">
        <v>3.0000000000000027E-2</v>
      </c>
      <c r="AI20" s="98">
        <v>5.0000000000000266E-2</v>
      </c>
      <c r="AJ20" s="15"/>
      <c r="AK20" s="95">
        <v>157.32057416267943</v>
      </c>
      <c r="AL20" s="96">
        <v>162.04019138755982</v>
      </c>
      <c r="AM20" s="96">
        <v>170.14220095693784</v>
      </c>
      <c r="AN20" s="97">
        <v>3.0000000000000027E-2</v>
      </c>
      <c r="AO20" s="98">
        <v>5.0000000000000266E-2</v>
      </c>
      <c r="AQ20" s="95">
        <v>124.54545454545455</v>
      </c>
      <c r="AR20" s="96">
        <v>121.53014354066985</v>
      </c>
      <c r="AS20" s="99">
        <v>127.60665071770337</v>
      </c>
      <c r="AT20" s="91">
        <v>-2.421052631578946E-2</v>
      </c>
      <c r="AU20" s="92">
        <v>5.0000000000000266E-2</v>
      </c>
      <c r="AW20" s="88">
        <v>1442.1052631578973</v>
      </c>
      <c r="AX20" s="89">
        <v>3196.6666666666661</v>
      </c>
      <c r="AY20" s="90">
        <v>3292.5666666666662</v>
      </c>
      <c r="BA20" s="88">
        <v>17305.263157894737</v>
      </c>
      <c r="BB20" s="89">
        <v>18620.583333333336</v>
      </c>
      <c r="BC20" s="90">
        <v>19403.918508333336</v>
      </c>
      <c r="BE20" s="88">
        <v>10094.736842105263</v>
      </c>
      <c r="BF20" s="89">
        <v>10149.416666666662</v>
      </c>
      <c r="BG20" s="90">
        <v>10229.181491666664</v>
      </c>
      <c r="BI20" s="100">
        <v>28842.105263157893</v>
      </c>
      <c r="BJ20" s="101">
        <v>31966.666666666664</v>
      </c>
      <c r="BK20" s="102">
        <v>32925.666666666664</v>
      </c>
      <c r="BM20" s="88">
        <v>220</v>
      </c>
      <c r="BN20" s="89">
        <v>236.73139158576052</v>
      </c>
      <c r="BO20" s="90">
        <v>232.22222222222217</v>
      </c>
      <c r="BP20" s="91">
        <v>7.6051779935275121E-2</v>
      </c>
      <c r="BQ20" s="92">
        <v>-1.9047619047619313E-2</v>
      </c>
      <c r="BR20" s="366">
        <v>4.8511576626240352E-2</v>
      </c>
      <c r="BS20" s="367">
        <v>4.9109987989126559E-2</v>
      </c>
      <c r="BT20" s="94">
        <v>4.8776100322982172E-2</v>
      </c>
      <c r="BV20" s="88">
        <v>24</v>
      </c>
      <c r="BW20" s="282">
        <v>24</v>
      </c>
      <c r="BX20" s="103">
        <v>0</v>
      </c>
      <c r="BY20" s="88">
        <v>24</v>
      </c>
      <c r="BZ20" s="282">
        <v>4411.7826622819684</v>
      </c>
      <c r="CA20" s="103">
        <v>182.82427759508201</v>
      </c>
      <c r="CB20" s="282">
        <v>30</v>
      </c>
      <c r="CC20" s="282">
        <v>99.523809523809518</v>
      </c>
      <c r="CD20" s="103">
        <v>2.3174603174603172</v>
      </c>
      <c r="CF20" s="115">
        <v>4624.5140538677279</v>
      </c>
      <c r="CG20" s="115">
        <v>279907.43052352592</v>
      </c>
      <c r="CH20" s="308">
        <v>5.09262505915824E-2</v>
      </c>
      <c r="CI20" s="115">
        <v>301.74603174603169</v>
      </c>
      <c r="CJ20" s="115">
        <v>801167.36675462942</v>
      </c>
      <c r="CK20" s="308">
        <v>0.7</v>
      </c>
      <c r="CM20" s="290">
        <v>9.1666666666666661</v>
      </c>
      <c r="CN20" s="291">
        <v>0.10673714634340319</v>
      </c>
      <c r="CO20" s="292">
        <v>3.5857843137254894</v>
      </c>
    </row>
    <row r="21" spans="1:93" ht="13.5" customHeight="1" x14ac:dyDescent="0.25">
      <c r="B21" s="541" t="s">
        <v>34</v>
      </c>
      <c r="C21" s="541"/>
      <c r="D21" s="541"/>
      <c r="E21" s="541"/>
      <c r="F21" s="4">
        <v>43100</v>
      </c>
      <c r="G21" s="5">
        <v>44815</v>
      </c>
      <c r="H21" s="6">
        <v>47431.1</v>
      </c>
      <c r="I21" s="6"/>
      <c r="J21" s="8"/>
      <c r="K21" s="9">
        <v>3.9791183294663579E-2</v>
      </c>
      <c r="L21" s="9">
        <v>5.8375543902711158E-2</v>
      </c>
      <c r="M21" s="402">
        <v>0.29141311697092631</v>
      </c>
      <c r="N21" s="318">
        <v>0.28954934582458408</v>
      </c>
      <c r="O21" s="9">
        <v>0.29498181827227876</v>
      </c>
      <c r="Q21" s="347">
        <v>0.5876755917355303</v>
      </c>
      <c r="R21" s="348">
        <v>0.63580702778375597</v>
      </c>
      <c r="S21" s="348">
        <v>0.64036005278935892</v>
      </c>
      <c r="T21" s="14">
        <v>8.1901369948143232E-2</v>
      </c>
      <c r="U21" s="8">
        <v>7.1610171115494836E-3</v>
      </c>
      <c r="V21" s="13"/>
      <c r="W21" s="379">
        <v>5.7133560272326751E-2</v>
      </c>
      <c r="X21" s="380">
        <v>8.2715096236713553E-2</v>
      </c>
      <c r="Y21" s="381">
        <v>8.7484704135049496E-2</v>
      </c>
      <c r="AA21" s="402">
        <v>0.53054203146320356</v>
      </c>
      <c r="AB21" s="318">
        <v>0.55309193154704239</v>
      </c>
      <c r="AC21" s="9">
        <v>0.55287534865430943</v>
      </c>
      <c r="AD21" s="15"/>
      <c r="AE21" s="10">
        <v>74.3279194805678</v>
      </c>
      <c r="AF21" s="11">
        <v>80.839555851232291</v>
      </c>
      <c r="AG21" s="11">
        <v>83.441263078472701</v>
      </c>
      <c r="AH21" s="14">
        <v>8.7606869883757321E-2</v>
      </c>
      <c r="AI21" s="8">
        <v>3.2183591310524839E-2</v>
      </c>
      <c r="AJ21" s="15"/>
      <c r="AK21" s="10">
        <v>89.193503376681363</v>
      </c>
      <c r="AL21" s="11">
        <v>97.007467021478746</v>
      </c>
      <c r="AM21" s="11">
        <v>100.12951569416724</v>
      </c>
      <c r="AN21" s="14">
        <v>8.7606869883757099E-2</v>
      </c>
      <c r="AO21" s="8">
        <v>3.2183591310524839E-2</v>
      </c>
      <c r="AQ21" s="10">
        <v>70.081300813008127</v>
      </c>
      <c r="AR21" s="11">
        <v>74.152904209264435</v>
      </c>
      <c r="AS21" s="12">
        <v>76.141428865397685</v>
      </c>
      <c r="AT21" s="7">
        <v>5.8098285120594673E-2</v>
      </c>
      <c r="AU21" s="8">
        <v>2.6816544508108553E-2</v>
      </c>
      <c r="AW21" s="4">
        <v>2611.6704805492018</v>
      </c>
      <c r="AX21" s="5">
        <v>4041.1403508771928</v>
      </c>
      <c r="AY21" s="6">
        <v>4547.3163782605343</v>
      </c>
      <c r="BA21" s="4">
        <v>22866.361556064072</v>
      </c>
      <c r="BB21" s="5">
        <v>24786.814912280704</v>
      </c>
      <c r="BC21" s="6">
        <v>26223.485949557416</v>
      </c>
      <c r="BE21" s="4">
        <v>20233.638443935924</v>
      </c>
      <c r="BF21" s="5">
        <v>20028.185087719292</v>
      </c>
      <c r="BG21" s="6">
        <v>21207.614050442586</v>
      </c>
      <c r="BI21" s="116">
        <v>45711.670480549197</v>
      </c>
      <c r="BJ21" s="16">
        <v>48856.140350877191</v>
      </c>
      <c r="BK21" s="17">
        <v>51978.416378260532</v>
      </c>
      <c r="BM21" s="4">
        <v>615</v>
      </c>
      <c r="BN21" s="5">
        <v>604.35933666912206</v>
      </c>
      <c r="BO21" s="6">
        <v>622.93419898710306</v>
      </c>
      <c r="BP21" s="7">
        <v>-1.7301891594923458E-2</v>
      </c>
      <c r="BQ21" s="8">
        <v>3.0734798307832767E-2</v>
      </c>
      <c r="BR21" s="402">
        <v>0.13561190738699008</v>
      </c>
      <c r="BS21" s="318">
        <v>0.12537449962222225</v>
      </c>
      <c r="BT21" s="9">
        <v>0.13084148749268104</v>
      </c>
      <c r="BV21" s="4">
        <v>57.5</v>
      </c>
      <c r="BW21" s="283">
        <v>63.4</v>
      </c>
      <c r="BX21" s="18">
        <v>0.1026086956521739</v>
      </c>
      <c r="BY21" s="4">
        <v>48</v>
      </c>
      <c r="BZ21" s="283">
        <v>4826.0429396471545</v>
      </c>
      <c r="CA21" s="18">
        <v>99.542561242649057</v>
      </c>
      <c r="CB21" s="283">
        <v>54</v>
      </c>
      <c r="CC21" s="283">
        <v>259.91340035938515</v>
      </c>
      <c r="CD21" s="18">
        <v>3.8132111177663921</v>
      </c>
      <c r="CF21" s="117">
        <v>5382.4022763162748</v>
      </c>
      <c r="CG21" s="117">
        <v>409907.43052352592</v>
      </c>
      <c r="CH21" s="309">
        <v>0.11129181705468243</v>
      </c>
      <c r="CI21" s="117">
        <v>828.84759934648821</v>
      </c>
      <c r="CJ21" s="117">
        <v>2783585.5500483424</v>
      </c>
      <c r="CK21" s="309">
        <v>0.7055965258876149</v>
      </c>
      <c r="CM21" s="293">
        <v>10.173697270471463</v>
      </c>
      <c r="CN21" s="294">
        <v>0.24799097757348576</v>
      </c>
      <c r="CO21" s="295">
        <v>3.9688283346549338</v>
      </c>
    </row>
    <row r="22" spans="1:93" ht="13.5" customHeight="1" outlineLevel="1" x14ac:dyDescent="0.25">
      <c r="B22" s="23" t="s">
        <v>22</v>
      </c>
      <c r="C22" s="23" t="s">
        <v>35</v>
      </c>
      <c r="D22" s="23" t="s">
        <v>24</v>
      </c>
      <c r="E22" s="24" t="s">
        <v>32</v>
      </c>
      <c r="F22" s="450">
        <v>400</v>
      </c>
      <c r="G22" s="25">
        <v>420</v>
      </c>
      <c r="H22" s="30">
        <v>432.6</v>
      </c>
      <c r="I22" s="106"/>
      <c r="J22" s="107"/>
      <c r="K22" s="447">
        <v>0.05</v>
      </c>
      <c r="L22" s="447">
        <v>0.03</v>
      </c>
      <c r="M22" s="391">
        <v>2.7045300878972278E-3</v>
      </c>
      <c r="N22" s="392">
        <v>2.7136165401389113E-3</v>
      </c>
      <c r="O22" s="393">
        <v>2.690410607904683E-3</v>
      </c>
      <c r="Q22" s="457">
        <v>0.65</v>
      </c>
      <c r="R22" s="343">
        <v>0.68250000000000011</v>
      </c>
      <c r="S22" s="343">
        <v>0.68932500000000008</v>
      </c>
      <c r="T22" s="34">
        <v>0.05</v>
      </c>
      <c r="U22" s="35">
        <v>0.01</v>
      </c>
      <c r="V22" s="29"/>
      <c r="W22" s="463">
        <v>0.05</v>
      </c>
      <c r="X22" s="482">
        <v>0.1</v>
      </c>
      <c r="Y22" s="378">
        <v>0.1</v>
      </c>
      <c r="AA22" s="400">
        <v>0.63157894736842102</v>
      </c>
      <c r="AB22" s="392">
        <v>0.64722222222222237</v>
      </c>
      <c r="AC22" s="393">
        <v>0.65480555555555564</v>
      </c>
      <c r="AD22" s="15"/>
      <c r="AE22" s="38">
        <v>42.10526315789474</v>
      </c>
      <c r="AF22" s="62">
        <v>43.368421052631582</v>
      </c>
      <c r="AG22" s="62">
        <v>45.536842105263162</v>
      </c>
      <c r="AH22" s="34">
        <v>0.03</v>
      </c>
      <c r="AI22" s="35">
        <v>0.05</v>
      </c>
      <c r="AJ22" s="15"/>
      <c r="AK22" s="38">
        <v>50.526315789473685</v>
      </c>
      <c r="AL22" s="62">
        <v>52.0421052631579</v>
      </c>
      <c r="AM22" s="62">
        <v>54.644210526315796</v>
      </c>
      <c r="AN22" s="432">
        <v>3.0000000000000027E-2</v>
      </c>
      <c r="AO22" s="433">
        <v>5.0000000000000044E-2</v>
      </c>
      <c r="AQ22" s="38">
        <v>40</v>
      </c>
      <c r="AR22" s="64">
        <v>39.031578947368423</v>
      </c>
      <c r="AS22" s="65">
        <v>40.983157894736848</v>
      </c>
      <c r="AT22" s="26">
        <v>-2.421052631578946E-2</v>
      </c>
      <c r="AU22" s="28">
        <v>5.0000000000000044E-2</v>
      </c>
      <c r="AW22" s="41">
        <v>21.052631578947398</v>
      </c>
      <c r="AX22" s="25">
        <v>46.666666666666629</v>
      </c>
      <c r="AY22" s="30">
        <v>48.066666666666663</v>
      </c>
      <c r="BA22" s="41">
        <v>252.63157894736841</v>
      </c>
      <c r="BB22" s="25">
        <v>271.83333333333337</v>
      </c>
      <c r="BC22" s="30">
        <v>283.26888333333341</v>
      </c>
      <c r="BE22" s="67">
        <v>147.36842105263159</v>
      </c>
      <c r="BF22" s="54">
        <v>148.16666666666663</v>
      </c>
      <c r="BG22" s="55">
        <v>149.33111666666662</v>
      </c>
      <c r="BI22" s="43">
        <v>421.0526315789474</v>
      </c>
      <c r="BJ22" s="44">
        <v>466.66666666666663</v>
      </c>
      <c r="BK22" s="45">
        <v>480.66666666666669</v>
      </c>
      <c r="BM22" s="451">
        <v>10</v>
      </c>
      <c r="BN22" s="54">
        <v>10.760517799352749</v>
      </c>
      <c r="BO22" s="55">
        <v>10.555555555555555</v>
      </c>
      <c r="BP22" s="26">
        <v>7.6051779935274899E-2</v>
      </c>
      <c r="BQ22" s="28">
        <v>-1.904761904761898E-2</v>
      </c>
      <c r="BR22" s="391">
        <v>2.205071664829107E-3</v>
      </c>
      <c r="BS22" s="392">
        <v>2.2322721813239342E-3</v>
      </c>
      <c r="BT22" s="393">
        <v>2.2170954692264629E-3</v>
      </c>
      <c r="BV22" s="451">
        <v>4</v>
      </c>
      <c r="BW22" s="470">
        <v>4</v>
      </c>
      <c r="BX22" s="46">
        <v>0</v>
      </c>
      <c r="BY22" s="451">
        <v>4</v>
      </c>
      <c r="BZ22" s="243">
        <v>3096.6018739692763</v>
      </c>
      <c r="CA22" s="46">
        <v>773.15046849231908</v>
      </c>
      <c r="CB22" s="109">
        <v>5</v>
      </c>
      <c r="CC22" s="243">
        <v>4.5238095238095255</v>
      </c>
      <c r="CD22" s="46">
        <v>-9.52380952380949E-2</v>
      </c>
      <c r="CF22" s="474">
        <v>3103.3623917686291</v>
      </c>
      <c r="CG22" s="474">
        <v>45981.486104705182</v>
      </c>
      <c r="CH22" s="228">
        <v>3.4629104824906326E-3</v>
      </c>
      <c r="CI22" s="49">
        <v>10.079365079365081</v>
      </c>
      <c r="CJ22" s="49">
        <v>1505.1628425925924</v>
      </c>
      <c r="CK22" s="249">
        <v>0.7</v>
      </c>
      <c r="CM22" s="214">
        <v>2.5</v>
      </c>
      <c r="CN22" s="51">
        <v>6.94092194789106E-3</v>
      </c>
      <c r="CO22" s="226">
        <v>2.2166666666666663</v>
      </c>
    </row>
    <row r="23" spans="1:93" ht="13.5" customHeight="1" outlineLevel="1" x14ac:dyDescent="0.25">
      <c r="B23" s="53"/>
      <c r="C23" s="53"/>
      <c r="D23" s="53"/>
      <c r="E23" s="24" t="s">
        <v>26</v>
      </c>
      <c r="F23" s="451">
        <v>400</v>
      </c>
      <c r="G23" s="54">
        <v>420</v>
      </c>
      <c r="H23" s="55">
        <v>432.6</v>
      </c>
      <c r="I23" s="110"/>
      <c r="J23" s="111"/>
      <c r="K23" s="448">
        <v>0.05</v>
      </c>
      <c r="L23" s="448">
        <v>0.03</v>
      </c>
      <c r="M23" s="394">
        <v>2.7045300878972278E-3</v>
      </c>
      <c r="N23" s="395">
        <v>2.7136165401389113E-3</v>
      </c>
      <c r="O23" s="396">
        <v>2.690410607904683E-3</v>
      </c>
      <c r="Q23" s="458">
        <v>0.65</v>
      </c>
      <c r="R23" s="343">
        <v>0.68250000000000011</v>
      </c>
      <c r="S23" s="343">
        <v>0.68932500000000008</v>
      </c>
      <c r="T23" s="60">
        <v>0.05</v>
      </c>
      <c r="U23" s="37">
        <v>0.01</v>
      </c>
      <c r="W23" s="464">
        <v>0.05</v>
      </c>
      <c r="X23" s="483">
        <v>0.1</v>
      </c>
      <c r="Y23" s="374">
        <v>0.1</v>
      </c>
      <c r="AA23" s="401">
        <v>0.63157894736842102</v>
      </c>
      <c r="AB23" s="395">
        <v>0.64722222222222237</v>
      </c>
      <c r="AC23" s="396">
        <v>0.65480555555555564</v>
      </c>
      <c r="AD23" s="15"/>
      <c r="AE23" s="63">
        <v>42.10526315789474</v>
      </c>
      <c r="AF23" s="62">
        <v>43.368421052631582</v>
      </c>
      <c r="AG23" s="62">
        <v>45.536842105263162</v>
      </c>
      <c r="AH23" s="60">
        <v>0.03</v>
      </c>
      <c r="AI23" s="37">
        <v>0.05</v>
      </c>
      <c r="AJ23" s="15"/>
      <c r="AK23" s="63">
        <v>50.526315789473685</v>
      </c>
      <c r="AL23" s="62">
        <v>52.0421052631579</v>
      </c>
      <c r="AM23" s="62">
        <v>54.644210526315796</v>
      </c>
      <c r="AN23" s="434">
        <v>3.0000000000000027E-2</v>
      </c>
      <c r="AO23" s="435">
        <v>5.0000000000000044E-2</v>
      </c>
      <c r="AQ23" s="63">
        <v>40</v>
      </c>
      <c r="AR23" s="64">
        <v>39.031578947368423</v>
      </c>
      <c r="AS23" s="65">
        <v>40.983157894736848</v>
      </c>
      <c r="AT23" s="56">
        <v>-2.421052631578946E-2</v>
      </c>
      <c r="AU23" s="27">
        <v>5.0000000000000044E-2</v>
      </c>
      <c r="AW23" s="66">
        <v>21.052631578947398</v>
      </c>
      <c r="AX23" s="54">
        <v>46.666666666666629</v>
      </c>
      <c r="AY23" s="55">
        <v>48.066666666666663</v>
      </c>
      <c r="BA23" s="66">
        <v>252.63157894736841</v>
      </c>
      <c r="BB23" s="54">
        <v>271.83333333333337</v>
      </c>
      <c r="BC23" s="55">
        <v>283.26888333333341</v>
      </c>
      <c r="BE23" s="67">
        <v>147.36842105263159</v>
      </c>
      <c r="BF23" s="54">
        <v>148.16666666666663</v>
      </c>
      <c r="BG23" s="55">
        <v>149.33111666666662</v>
      </c>
      <c r="BI23" s="68">
        <v>421.0526315789474</v>
      </c>
      <c r="BJ23" s="62">
        <v>466.66666666666663</v>
      </c>
      <c r="BK23" s="69">
        <v>480.66666666666669</v>
      </c>
      <c r="BM23" s="451">
        <v>10</v>
      </c>
      <c r="BN23" s="54">
        <v>10.760517799352749</v>
      </c>
      <c r="BO23" s="55">
        <v>10.555555555555555</v>
      </c>
      <c r="BP23" s="56">
        <v>7.6051779935274899E-2</v>
      </c>
      <c r="BQ23" s="27">
        <v>-1.904761904761898E-2</v>
      </c>
      <c r="BR23" s="394">
        <v>2.205071664829107E-3</v>
      </c>
      <c r="BS23" s="395">
        <v>2.2322721813239342E-3</v>
      </c>
      <c r="BT23" s="396">
        <v>2.2170954692264629E-3</v>
      </c>
      <c r="BV23" s="451">
        <v>4</v>
      </c>
      <c r="BW23" s="469">
        <v>4</v>
      </c>
      <c r="BX23" s="70">
        <v>0</v>
      </c>
      <c r="BY23" s="451">
        <v>4</v>
      </c>
      <c r="BZ23" s="71">
        <v>3096.6018739692763</v>
      </c>
      <c r="CA23" s="70">
        <v>773.15046849231908</v>
      </c>
      <c r="CB23" s="113">
        <v>5</v>
      </c>
      <c r="CC23" s="71">
        <v>4.5238095238095255</v>
      </c>
      <c r="CD23" s="70">
        <v>-9.52380952380949E-2</v>
      </c>
      <c r="CF23" s="475">
        <v>3103.3623917686291</v>
      </c>
      <c r="CG23" s="475">
        <v>45981.486104705182</v>
      </c>
      <c r="CH23" s="229">
        <v>3.4629104824906326E-3</v>
      </c>
      <c r="CI23" s="72">
        <v>10.079365079365081</v>
      </c>
      <c r="CJ23" s="72">
        <v>1505.1628425925924</v>
      </c>
      <c r="CK23" s="250">
        <v>0.7</v>
      </c>
      <c r="CM23" s="215">
        <v>2.5</v>
      </c>
      <c r="CN23" s="216">
        <v>6.94092194789106E-3</v>
      </c>
      <c r="CO23" s="217">
        <v>2.2166666666666663</v>
      </c>
    </row>
    <row r="24" spans="1:93" ht="13.5" customHeight="1" outlineLevel="1" x14ac:dyDescent="0.25">
      <c r="B24" s="73"/>
      <c r="C24" s="73"/>
      <c r="D24" s="73"/>
      <c r="E24" s="24" t="s">
        <v>29</v>
      </c>
      <c r="F24" s="452">
        <v>400</v>
      </c>
      <c r="G24" s="74">
        <v>420</v>
      </c>
      <c r="H24" s="75">
        <v>432.6</v>
      </c>
      <c r="I24" s="118"/>
      <c r="J24" s="119"/>
      <c r="K24" s="449">
        <v>0.05</v>
      </c>
      <c r="L24" s="449">
        <v>0.03</v>
      </c>
      <c r="M24" s="397">
        <v>2.7045300878972278E-3</v>
      </c>
      <c r="N24" s="398">
        <v>2.7136165401389113E-3</v>
      </c>
      <c r="O24" s="399">
        <v>2.690410607904683E-3</v>
      </c>
      <c r="Q24" s="459">
        <v>0.65</v>
      </c>
      <c r="R24" s="343">
        <v>0.68250000000000011</v>
      </c>
      <c r="S24" s="343">
        <v>0.68932500000000008</v>
      </c>
      <c r="T24" s="78">
        <v>0.05</v>
      </c>
      <c r="U24" s="79">
        <v>0.01</v>
      </c>
      <c r="W24" s="465">
        <v>0.05</v>
      </c>
      <c r="X24" s="484">
        <v>0.1</v>
      </c>
      <c r="Y24" s="382">
        <v>0.1</v>
      </c>
      <c r="AA24" s="403">
        <v>0.63157894736842102</v>
      </c>
      <c r="AB24" s="398">
        <v>0.64722222222222237</v>
      </c>
      <c r="AC24" s="399">
        <v>0.65480555555555564</v>
      </c>
      <c r="AD24" s="15"/>
      <c r="AE24" s="83">
        <v>42.10526315789474</v>
      </c>
      <c r="AF24" s="62">
        <v>43.368421052631582</v>
      </c>
      <c r="AG24" s="62">
        <v>45.536842105263162</v>
      </c>
      <c r="AH24" s="78">
        <v>0.03</v>
      </c>
      <c r="AI24" s="79">
        <v>0.05</v>
      </c>
      <c r="AJ24" s="15"/>
      <c r="AK24" s="83">
        <v>50.526315789473685</v>
      </c>
      <c r="AL24" s="62">
        <v>52.0421052631579</v>
      </c>
      <c r="AM24" s="62">
        <v>54.644210526315796</v>
      </c>
      <c r="AN24" s="436">
        <v>3.0000000000000027E-2</v>
      </c>
      <c r="AO24" s="437">
        <v>5.0000000000000044E-2</v>
      </c>
      <c r="AQ24" s="83">
        <v>40</v>
      </c>
      <c r="AR24" s="64">
        <v>39.031578947368423</v>
      </c>
      <c r="AS24" s="65">
        <v>40.983157894736848</v>
      </c>
      <c r="AT24" s="80">
        <v>-2.421052631578946E-2</v>
      </c>
      <c r="AU24" s="81">
        <v>5.0000000000000044E-2</v>
      </c>
      <c r="AW24" s="86">
        <v>21.052631578947398</v>
      </c>
      <c r="AX24" s="74">
        <v>46.666666666666629</v>
      </c>
      <c r="AY24" s="75">
        <v>48.066666666666663</v>
      </c>
      <c r="BA24" s="86">
        <v>252.63157894736841</v>
      </c>
      <c r="BB24" s="74">
        <v>271.83333333333337</v>
      </c>
      <c r="BC24" s="75">
        <v>283.26888333333341</v>
      </c>
      <c r="BE24" s="67">
        <v>147.36842105263159</v>
      </c>
      <c r="BF24" s="54">
        <v>148.16666666666663</v>
      </c>
      <c r="BG24" s="55">
        <v>149.33111666666662</v>
      </c>
      <c r="BI24" s="121">
        <v>421.0526315789474</v>
      </c>
      <c r="BJ24" s="82">
        <v>466.66666666666663</v>
      </c>
      <c r="BK24" s="122">
        <v>480.66666666666669</v>
      </c>
      <c r="BM24" s="451">
        <v>10</v>
      </c>
      <c r="BN24" s="54">
        <v>10.760517799352749</v>
      </c>
      <c r="BO24" s="55">
        <v>10.555555555555555</v>
      </c>
      <c r="BP24" s="80">
        <v>7.6051779935274899E-2</v>
      </c>
      <c r="BQ24" s="81">
        <v>-1.904761904761898E-2</v>
      </c>
      <c r="BR24" s="397">
        <v>2.205071664829107E-3</v>
      </c>
      <c r="BS24" s="398">
        <v>2.2322721813239342E-3</v>
      </c>
      <c r="BT24" s="399">
        <v>2.2170954692264629E-3</v>
      </c>
      <c r="BV24" s="451">
        <v>4</v>
      </c>
      <c r="BW24" s="471">
        <v>4</v>
      </c>
      <c r="BX24" s="124">
        <v>0</v>
      </c>
      <c r="BY24" s="451">
        <v>4</v>
      </c>
      <c r="BZ24" s="244">
        <v>3096.6018739692763</v>
      </c>
      <c r="CA24" s="124">
        <v>773.15046849231908</v>
      </c>
      <c r="CB24" s="123">
        <v>5</v>
      </c>
      <c r="CC24" s="244">
        <v>4.5238095238095255</v>
      </c>
      <c r="CD24" s="124">
        <v>-9.52380952380949E-2</v>
      </c>
      <c r="CF24" s="476">
        <v>3103.3623917686291</v>
      </c>
      <c r="CG24" s="476">
        <v>45981.486104705182</v>
      </c>
      <c r="CH24" s="230">
        <v>3.4629104824906326E-3</v>
      </c>
      <c r="CI24" s="125">
        <v>10.079365079365081</v>
      </c>
      <c r="CJ24" s="125">
        <v>1505.1628425925924</v>
      </c>
      <c r="CK24" s="251">
        <v>0.7</v>
      </c>
      <c r="CM24" s="231">
        <v>2.5</v>
      </c>
      <c r="CN24" s="232">
        <v>6.94092194789106E-3</v>
      </c>
      <c r="CO24" s="233">
        <v>2.2166666666666663</v>
      </c>
    </row>
    <row r="25" spans="1:93" ht="13.5" customHeight="1" x14ac:dyDescent="0.25">
      <c r="B25" s="540" t="s">
        <v>36</v>
      </c>
      <c r="C25" s="540"/>
      <c r="D25" s="540"/>
      <c r="E25" s="540"/>
      <c r="F25" s="88">
        <v>1200</v>
      </c>
      <c r="G25" s="89">
        <v>1260</v>
      </c>
      <c r="H25" s="90">
        <v>1297.8000000000002</v>
      </c>
      <c r="I25" s="90"/>
      <c r="J25" s="92"/>
      <c r="K25" s="94">
        <v>5.0000000000000044E-2</v>
      </c>
      <c r="L25" s="94">
        <v>3.0000000000000249E-2</v>
      </c>
      <c r="M25" s="366">
        <v>8.1135902636916835E-3</v>
      </c>
      <c r="N25" s="367">
        <v>8.140849620416734E-3</v>
      </c>
      <c r="O25" s="94">
        <v>8.07123182371405E-3</v>
      </c>
      <c r="Q25" s="345">
        <v>0.68157894736842095</v>
      </c>
      <c r="R25" s="346">
        <v>0.74722222222222234</v>
      </c>
      <c r="S25" s="346">
        <v>0.75480555555555551</v>
      </c>
      <c r="T25" s="97">
        <v>9.6310596310596575E-2</v>
      </c>
      <c r="U25" s="98">
        <v>1.0148698884758112E-2</v>
      </c>
      <c r="V25" s="13"/>
      <c r="W25" s="375">
        <v>4.9999999999999982E-2</v>
      </c>
      <c r="X25" s="376">
        <v>0.1</v>
      </c>
      <c r="Y25" s="377">
        <v>9.9999999999999881E-2</v>
      </c>
      <c r="AA25" s="366">
        <v>0.63157894736842102</v>
      </c>
      <c r="AB25" s="367">
        <v>0.64722222222222237</v>
      </c>
      <c r="AC25" s="94">
        <v>0.65480555555555564</v>
      </c>
      <c r="AD25" s="15"/>
      <c r="AE25" s="95">
        <v>42.105263157894733</v>
      </c>
      <c r="AF25" s="96">
        <v>43.368421052631582</v>
      </c>
      <c r="AG25" s="96">
        <v>45.536842105263162</v>
      </c>
      <c r="AH25" s="97">
        <v>3.0000000000000249E-2</v>
      </c>
      <c r="AI25" s="98">
        <v>5.0000000000000044E-2</v>
      </c>
      <c r="AJ25" s="15"/>
      <c r="AK25" s="95">
        <v>50.526315789473678</v>
      </c>
      <c r="AL25" s="96">
        <v>52.0421052631579</v>
      </c>
      <c r="AM25" s="96">
        <v>54.644210526315796</v>
      </c>
      <c r="AN25" s="97">
        <v>3.0000000000000249E-2</v>
      </c>
      <c r="AO25" s="98">
        <v>5.0000000000000044E-2</v>
      </c>
      <c r="AQ25" s="95">
        <v>40</v>
      </c>
      <c r="AR25" s="96">
        <v>39.031578947368423</v>
      </c>
      <c r="AS25" s="99">
        <v>40.983157894736848</v>
      </c>
      <c r="AT25" s="91">
        <v>-2.421052631578946E-2</v>
      </c>
      <c r="AU25" s="92">
        <v>5.0000000000000044E-2</v>
      </c>
      <c r="AW25" s="88">
        <v>63.157894736842195</v>
      </c>
      <c r="AX25" s="89">
        <v>139.99999999999989</v>
      </c>
      <c r="AY25" s="90">
        <v>144.19999999999999</v>
      </c>
      <c r="BA25" s="88">
        <v>757.8947368421052</v>
      </c>
      <c r="BB25" s="89">
        <v>815.50000000000011</v>
      </c>
      <c r="BC25" s="90">
        <v>849.80665000000022</v>
      </c>
      <c r="BE25" s="88">
        <v>442.1052631578948</v>
      </c>
      <c r="BF25" s="89">
        <v>444.49999999999989</v>
      </c>
      <c r="BG25" s="90">
        <v>447.99334999999985</v>
      </c>
      <c r="BI25" s="100">
        <v>1263.1578947368421</v>
      </c>
      <c r="BJ25" s="101">
        <v>1400</v>
      </c>
      <c r="BK25" s="102">
        <v>1442</v>
      </c>
      <c r="BM25" s="88">
        <v>30</v>
      </c>
      <c r="BN25" s="89">
        <v>32.28155339805825</v>
      </c>
      <c r="BO25" s="90">
        <v>31.666666666666664</v>
      </c>
      <c r="BP25" s="91">
        <v>7.6051779935274899E-2</v>
      </c>
      <c r="BQ25" s="92">
        <v>-1.9047619047619091E-2</v>
      </c>
      <c r="BR25" s="366">
        <v>6.615214994487321E-3</v>
      </c>
      <c r="BS25" s="367">
        <v>6.6968165439718029E-3</v>
      </c>
      <c r="BT25" s="94">
        <v>6.6512864076793878E-3</v>
      </c>
      <c r="BV25" s="88">
        <v>12</v>
      </c>
      <c r="BW25" s="282">
        <v>12</v>
      </c>
      <c r="BX25" s="103">
        <v>0</v>
      </c>
      <c r="BY25" s="88">
        <v>12</v>
      </c>
      <c r="BZ25" s="282">
        <v>9289.805621907828</v>
      </c>
      <c r="CA25" s="103">
        <v>773.15046849231896</v>
      </c>
      <c r="CB25" s="282">
        <v>15</v>
      </c>
      <c r="CC25" s="282">
        <v>13.571428571428577</v>
      </c>
      <c r="CD25" s="103">
        <v>-9.52380952380949E-2</v>
      </c>
      <c r="CF25" s="115">
        <v>9310.0871753058873</v>
      </c>
      <c r="CG25" s="115">
        <v>137944.45831411553</v>
      </c>
      <c r="CH25" s="308">
        <v>3.4629104824906334E-3</v>
      </c>
      <c r="CI25" s="115">
        <v>30.238095238095241</v>
      </c>
      <c r="CJ25" s="115">
        <v>4515.4885277777776</v>
      </c>
      <c r="CK25" s="308">
        <v>0.7</v>
      </c>
      <c r="CM25" s="290">
        <v>2.5</v>
      </c>
      <c r="CN25" s="291">
        <v>6.9409219478910609E-3</v>
      </c>
      <c r="CO25" s="292">
        <v>2.2166666666666659</v>
      </c>
    </row>
    <row r="26" spans="1:93" ht="13.5" customHeight="1" outlineLevel="1" x14ac:dyDescent="0.25">
      <c r="B26" s="53" t="s">
        <v>22</v>
      </c>
      <c r="C26" s="53" t="s">
        <v>35</v>
      </c>
      <c r="D26" s="53" t="s">
        <v>31</v>
      </c>
      <c r="E26" s="24" t="s">
        <v>32</v>
      </c>
      <c r="F26" s="451">
        <v>400</v>
      </c>
      <c r="G26" s="54">
        <v>412</v>
      </c>
      <c r="H26" s="55">
        <v>432.6</v>
      </c>
      <c r="I26" s="110"/>
      <c r="J26" s="111"/>
      <c r="K26" s="448">
        <v>0.03</v>
      </c>
      <c r="L26" s="448">
        <v>0.05</v>
      </c>
      <c r="M26" s="394">
        <v>2.7045300878972278E-3</v>
      </c>
      <c r="N26" s="395">
        <v>2.6619286060410273E-3</v>
      </c>
      <c r="O26" s="396">
        <v>2.690410607904683E-3</v>
      </c>
      <c r="Q26" s="458">
        <v>0.65</v>
      </c>
      <c r="R26" s="343">
        <v>0.68250000000000011</v>
      </c>
      <c r="S26" s="343">
        <v>0.68932500000000008</v>
      </c>
      <c r="T26" s="60">
        <v>0.05</v>
      </c>
      <c r="U26" s="37">
        <v>0.01</v>
      </c>
      <c r="V26" s="29"/>
      <c r="W26" s="464">
        <v>0.05</v>
      </c>
      <c r="X26" s="483">
        <v>0.1</v>
      </c>
      <c r="Y26" s="374">
        <v>0.1</v>
      </c>
      <c r="AA26" s="401">
        <v>0.63157894736842102</v>
      </c>
      <c r="AB26" s="395">
        <v>0.64722222222222237</v>
      </c>
      <c r="AC26" s="396">
        <v>0.65480555555555564</v>
      </c>
      <c r="AD26" s="15"/>
      <c r="AE26" s="63">
        <v>42.10526315789474</v>
      </c>
      <c r="AF26" s="62">
        <v>43.368421052631582</v>
      </c>
      <c r="AG26" s="62">
        <v>45.536842105263162</v>
      </c>
      <c r="AH26" s="60">
        <v>0.03</v>
      </c>
      <c r="AI26" s="37">
        <v>0.05</v>
      </c>
      <c r="AJ26" s="15"/>
      <c r="AK26" s="63">
        <v>50.526315789473685</v>
      </c>
      <c r="AL26" s="62">
        <v>52.0421052631579</v>
      </c>
      <c r="AM26" s="62">
        <v>54.644210526315796</v>
      </c>
      <c r="AN26" s="434">
        <v>3.0000000000000027E-2</v>
      </c>
      <c r="AO26" s="435">
        <v>5.0000000000000044E-2</v>
      </c>
      <c r="AQ26" s="63">
        <v>40</v>
      </c>
      <c r="AR26" s="64">
        <v>39.031578947368423</v>
      </c>
      <c r="AS26" s="65">
        <v>40.983157894736848</v>
      </c>
      <c r="AT26" s="56">
        <v>-2.421052631578946E-2</v>
      </c>
      <c r="AU26" s="27">
        <v>5.0000000000000044E-2</v>
      </c>
      <c r="AW26" s="66">
        <v>21.052631578947398</v>
      </c>
      <c r="AX26" s="54">
        <v>45.777777777777771</v>
      </c>
      <c r="AY26" s="55">
        <v>48.066666666666663</v>
      </c>
      <c r="BA26" s="66">
        <v>252.63157894736841</v>
      </c>
      <c r="BB26" s="54">
        <v>266.65555555555562</v>
      </c>
      <c r="BC26" s="55">
        <v>283.26888333333341</v>
      </c>
      <c r="BE26" s="67">
        <v>147.36842105263159</v>
      </c>
      <c r="BF26" s="54">
        <v>145.34444444444438</v>
      </c>
      <c r="BG26" s="55">
        <v>149.33111666666662</v>
      </c>
      <c r="BI26" s="68">
        <v>421.0526315789474</v>
      </c>
      <c r="BJ26" s="62">
        <v>457.77777777777777</v>
      </c>
      <c r="BK26" s="69">
        <v>480.66666666666669</v>
      </c>
      <c r="BM26" s="451">
        <v>10</v>
      </c>
      <c r="BN26" s="54">
        <v>10.555555555555555</v>
      </c>
      <c r="BO26" s="55">
        <v>10.555555555555555</v>
      </c>
      <c r="BP26" s="56">
        <v>5.555555555555558E-2</v>
      </c>
      <c r="BQ26" s="27">
        <v>0</v>
      </c>
      <c r="BR26" s="394">
        <v>2.205071664829107E-3</v>
      </c>
      <c r="BS26" s="395">
        <v>2.1897527112034786E-3</v>
      </c>
      <c r="BT26" s="396">
        <v>2.2170954692264629E-3</v>
      </c>
      <c r="BV26" s="451">
        <v>4</v>
      </c>
      <c r="BW26" s="469">
        <v>4</v>
      </c>
      <c r="BX26" s="70">
        <v>0</v>
      </c>
      <c r="BY26" s="451">
        <v>4</v>
      </c>
      <c r="BZ26" s="71">
        <v>3157.0663001309117</v>
      </c>
      <c r="CA26" s="70">
        <v>788.26657503272793</v>
      </c>
      <c r="CB26" s="113">
        <v>5</v>
      </c>
      <c r="CC26" s="71">
        <v>4.5238095238095255</v>
      </c>
      <c r="CD26" s="70">
        <v>-9.52380952380949E-2</v>
      </c>
      <c r="CF26" s="475">
        <v>3163.6218556864674</v>
      </c>
      <c r="CG26" s="475">
        <v>45981.486104705182</v>
      </c>
      <c r="CH26" s="229">
        <v>3.3323281744019979E-3</v>
      </c>
      <c r="CI26" s="72">
        <v>10.079365079365081</v>
      </c>
      <c r="CJ26" s="72">
        <v>1505.1628425925924</v>
      </c>
      <c r="CK26" s="250">
        <v>0.7</v>
      </c>
      <c r="CM26" s="215">
        <v>2.5</v>
      </c>
      <c r="CN26" s="216">
        <v>6.6784778004298165E-3</v>
      </c>
      <c r="CO26" s="217">
        <v>2.2166666666666663</v>
      </c>
    </row>
    <row r="27" spans="1:93" ht="13.5" customHeight="1" outlineLevel="1" x14ac:dyDescent="0.25">
      <c r="B27" s="53"/>
      <c r="C27" s="53"/>
      <c r="D27" s="53"/>
      <c r="E27" s="24" t="s">
        <v>26</v>
      </c>
      <c r="F27" s="451">
        <v>400</v>
      </c>
      <c r="G27" s="54">
        <v>412</v>
      </c>
      <c r="H27" s="55">
        <v>432.6</v>
      </c>
      <c r="I27" s="110"/>
      <c r="J27" s="111"/>
      <c r="K27" s="448">
        <v>0.03</v>
      </c>
      <c r="L27" s="448">
        <v>0.05</v>
      </c>
      <c r="M27" s="394">
        <v>2.7045300878972278E-3</v>
      </c>
      <c r="N27" s="395">
        <v>2.6619286060410273E-3</v>
      </c>
      <c r="O27" s="396">
        <v>2.690410607904683E-3</v>
      </c>
      <c r="Q27" s="458">
        <v>0.65</v>
      </c>
      <c r="R27" s="343">
        <v>0.68250000000000011</v>
      </c>
      <c r="S27" s="343">
        <v>0.68932500000000008</v>
      </c>
      <c r="T27" s="60">
        <v>0.05</v>
      </c>
      <c r="U27" s="37">
        <v>0.01</v>
      </c>
      <c r="W27" s="464">
        <v>0.05</v>
      </c>
      <c r="X27" s="483">
        <v>0.1</v>
      </c>
      <c r="Y27" s="374">
        <v>0.1</v>
      </c>
      <c r="AA27" s="401">
        <v>0.63157894736842102</v>
      </c>
      <c r="AB27" s="395">
        <v>0.64722222222222237</v>
      </c>
      <c r="AC27" s="396">
        <v>0.65480555555555564</v>
      </c>
      <c r="AD27" s="15"/>
      <c r="AE27" s="63">
        <v>42.10526315789474</v>
      </c>
      <c r="AF27" s="62">
        <v>43.368421052631582</v>
      </c>
      <c r="AG27" s="62">
        <v>45.536842105263162</v>
      </c>
      <c r="AH27" s="60">
        <v>0.03</v>
      </c>
      <c r="AI27" s="37">
        <v>0.05</v>
      </c>
      <c r="AJ27" s="15"/>
      <c r="AK27" s="63">
        <v>50.526315789473685</v>
      </c>
      <c r="AL27" s="62">
        <v>52.0421052631579</v>
      </c>
      <c r="AM27" s="62">
        <v>54.644210526315796</v>
      </c>
      <c r="AN27" s="434">
        <v>3.0000000000000027E-2</v>
      </c>
      <c r="AO27" s="435">
        <v>5.0000000000000044E-2</v>
      </c>
      <c r="AQ27" s="63">
        <v>40</v>
      </c>
      <c r="AR27" s="64">
        <v>39.031578947368423</v>
      </c>
      <c r="AS27" s="65">
        <v>40.983157894736848</v>
      </c>
      <c r="AT27" s="56">
        <v>-2.421052631578946E-2</v>
      </c>
      <c r="AU27" s="27">
        <v>5.0000000000000044E-2</v>
      </c>
      <c r="AW27" s="66">
        <v>21.052631578947398</v>
      </c>
      <c r="AX27" s="54">
        <v>45.777777777777771</v>
      </c>
      <c r="AY27" s="55">
        <v>48.066666666666663</v>
      </c>
      <c r="BA27" s="66">
        <v>252.63157894736841</v>
      </c>
      <c r="BB27" s="54">
        <v>266.65555555555562</v>
      </c>
      <c r="BC27" s="55">
        <v>283.26888333333341</v>
      </c>
      <c r="BE27" s="67">
        <v>147.36842105263159</v>
      </c>
      <c r="BF27" s="54">
        <v>145.34444444444438</v>
      </c>
      <c r="BG27" s="55">
        <v>149.33111666666662</v>
      </c>
      <c r="BI27" s="68">
        <v>421.0526315789474</v>
      </c>
      <c r="BJ27" s="62">
        <v>457.77777777777777</v>
      </c>
      <c r="BK27" s="69">
        <v>480.66666666666669</v>
      </c>
      <c r="BM27" s="451">
        <v>10</v>
      </c>
      <c r="BN27" s="54">
        <v>10.555555555555555</v>
      </c>
      <c r="BO27" s="55">
        <v>10.555555555555555</v>
      </c>
      <c r="BP27" s="56">
        <v>5.555555555555558E-2</v>
      </c>
      <c r="BQ27" s="27">
        <v>0</v>
      </c>
      <c r="BR27" s="394">
        <v>2.205071664829107E-3</v>
      </c>
      <c r="BS27" s="395">
        <v>2.1897527112034786E-3</v>
      </c>
      <c r="BT27" s="396">
        <v>2.2170954692264629E-3</v>
      </c>
      <c r="BV27" s="451">
        <v>4</v>
      </c>
      <c r="BW27" s="469">
        <v>4</v>
      </c>
      <c r="BX27" s="70">
        <v>0</v>
      </c>
      <c r="BY27" s="451">
        <v>4</v>
      </c>
      <c r="BZ27" s="71">
        <v>3157.0663001309117</v>
      </c>
      <c r="CA27" s="70">
        <v>788.26657503272793</v>
      </c>
      <c r="CB27" s="113">
        <v>5</v>
      </c>
      <c r="CC27" s="71">
        <v>4.5238095238095255</v>
      </c>
      <c r="CD27" s="70">
        <v>-9.52380952380949E-2</v>
      </c>
      <c r="CF27" s="475">
        <v>3163.6218556864674</v>
      </c>
      <c r="CG27" s="475">
        <v>45981.486104705182</v>
      </c>
      <c r="CH27" s="229">
        <v>3.3323281744019979E-3</v>
      </c>
      <c r="CI27" s="72">
        <v>10.079365079365081</v>
      </c>
      <c r="CJ27" s="72">
        <v>1505.1628425925924</v>
      </c>
      <c r="CK27" s="250">
        <v>0.7</v>
      </c>
      <c r="CM27" s="215">
        <v>2.5</v>
      </c>
      <c r="CN27" s="216">
        <v>6.6784778004298165E-3</v>
      </c>
      <c r="CO27" s="217">
        <v>2.2166666666666663</v>
      </c>
    </row>
    <row r="28" spans="1:93" ht="13.5" customHeight="1" outlineLevel="1" x14ac:dyDescent="0.25">
      <c r="B28" s="53"/>
      <c r="C28" s="53"/>
      <c r="D28" s="53"/>
      <c r="E28" s="24" t="s">
        <v>28</v>
      </c>
      <c r="F28" s="451">
        <v>400</v>
      </c>
      <c r="G28" s="54">
        <v>412</v>
      </c>
      <c r="H28" s="55">
        <v>432.6</v>
      </c>
      <c r="I28" s="110"/>
      <c r="J28" s="111"/>
      <c r="K28" s="448">
        <v>0.03</v>
      </c>
      <c r="L28" s="448">
        <v>0.05</v>
      </c>
      <c r="M28" s="394">
        <v>2.7045300878972278E-3</v>
      </c>
      <c r="N28" s="395">
        <v>2.6619286060410273E-3</v>
      </c>
      <c r="O28" s="396">
        <v>2.690410607904683E-3</v>
      </c>
      <c r="Q28" s="458">
        <v>0.65</v>
      </c>
      <c r="R28" s="343">
        <v>0.68250000000000011</v>
      </c>
      <c r="S28" s="343">
        <v>0.68932500000000008</v>
      </c>
      <c r="T28" s="60">
        <v>0.05</v>
      </c>
      <c r="U28" s="37">
        <v>0.01</v>
      </c>
      <c r="W28" s="464">
        <v>0.05</v>
      </c>
      <c r="X28" s="483">
        <v>0.1</v>
      </c>
      <c r="Y28" s="374">
        <v>0.1</v>
      </c>
      <c r="AA28" s="401">
        <v>0.63157894736842102</v>
      </c>
      <c r="AB28" s="395">
        <v>0.64722222222222237</v>
      </c>
      <c r="AC28" s="396">
        <v>0.65480555555555564</v>
      </c>
      <c r="AD28" s="15"/>
      <c r="AE28" s="63">
        <v>42.10526315789474</v>
      </c>
      <c r="AF28" s="62">
        <v>43.368421052631582</v>
      </c>
      <c r="AG28" s="62">
        <v>45.536842105263162</v>
      </c>
      <c r="AH28" s="60">
        <v>0.03</v>
      </c>
      <c r="AI28" s="37">
        <v>0.05</v>
      </c>
      <c r="AJ28" s="15"/>
      <c r="AK28" s="63">
        <v>50.526315789473685</v>
      </c>
      <c r="AL28" s="62">
        <v>52.0421052631579</v>
      </c>
      <c r="AM28" s="62">
        <v>54.644210526315796</v>
      </c>
      <c r="AN28" s="434">
        <v>3.0000000000000027E-2</v>
      </c>
      <c r="AO28" s="435">
        <v>5.0000000000000044E-2</v>
      </c>
      <c r="AQ28" s="63">
        <v>40</v>
      </c>
      <c r="AR28" s="64">
        <v>39.031578947368423</v>
      </c>
      <c r="AS28" s="65">
        <v>40.983157894736848</v>
      </c>
      <c r="AT28" s="56">
        <v>-2.421052631578946E-2</v>
      </c>
      <c r="AU28" s="27">
        <v>5.0000000000000044E-2</v>
      </c>
      <c r="AW28" s="66">
        <v>21.052631578947398</v>
      </c>
      <c r="AX28" s="54">
        <v>45.777777777777771</v>
      </c>
      <c r="AY28" s="55">
        <v>48.066666666666663</v>
      </c>
      <c r="BA28" s="66">
        <v>252.63157894736841</v>
      </c>
      <c r="BB28" s="54">
        <v>266.65555555555562</v>
      </c>
      <c r="BC28" s="55">
        <v>283.26888333333341</v>
      </c>
      <c r="BE28" s="67">
        <v>147.36842105263159</v>
      </c>
      <c r="BF28" s="54">
        <v>145.34444444444438</v>
      </c>
      <c r="BG28" s="55">
        <v>149.33111666666662</v>
      </c>
      <c r="BI28" s="68">
        <v>421.0526315789474</v>
      </c>
      <c r="BJ28" s="62">
        <v>457.77777777777777</v>
      </c>
      <c r="BK28" s="69">
        <v>480.66666666666669</v>
      </c>
      <c r="BM28" s="451">
        <v>10</v>
      </c>
      <c r="BN28" s="54">
        <v>10.555555555555555</v>
      </c>
      <c r="BO28" s="55">
        <v>10.555555555555555</v>
      </c>
      <c r="BP28" s="56">
        <v>5.555555555555558E-2</v>
      </c>
      <c r="BQ28" s="27">
        <v>0</v>
      </c>
      <c r="BR28" s="394">
        <v>2.205071664829107E-3</v>
      </c>
      <c r="BS28" s="395">
        <v>2.1897527112034786E-3</v>
      </c>
      <c r="BT28" s="396">
        <v>2.2170954692264629E-3</v>
      </c>
      <c r="BV28" s="451">
        <v>4</v>
      </c>
      <c r="BW28" s="469">
        <v>4</v>
      </c>
      <c r="BX28" s="70">
        <v>0</v>
      </c>
      <c r="BY28" s="451">
        <v>4</v>
      </c>
      <c r="BZ28" s="71">
        <v>3157.0663001309117</v>
      </c>
      <c r="CA28" s="70">
        <v>788.26657503272793</v>
      </c>
      <c r="CB28" s="113">
        <v>5</v>
      </c>
      <c r="CC28" s="71">
        <v>4.5238095238095255</v>
      </c>
      <c r="CD28" s="70">
        <v>-9.52380952380949E-2</v>
      </c>
      <c r="CF28" s="475">
        <v>3163.6218556864674</v>
      </c>
      <c r="CG28" s="475">
        <v>45981.486104705182</v>
      </c>
      <c r="CH28" s="229">
        <v>3.3323281744019979E-3</v>
      </c>
      <c r="CI28" s="72">
        <v>10.079365079365081</v>
      </c>
      <c r="CJ28" s="72">
        <v>1505.1628425925924</v>
      </c>
      <c r="CK28" s="250">
        <v>0.7</v>
      </c>
      <c r="CM28" s="215">
        <v>2.5</v>
      </c>
      <c r="CN28" s="216">
        <v>6.6784778004298165E-3</v>
      </c>
      <c r="CO28" s="217">
        <v>2.2166666666666663</v>
      </c>
    </row>
    <row r="29" spans="1:93" ht="13.5" customHeight="1" outlineLevel="1" x14ac:dyDescent="0.25">
      <c r="B29" s="53"/>
      <c r="C29" s="53"/>
      <c r="D29" s="53"/>
      <c r="E29" s="24" t="s">
        <v>29</v>
      </c>
      <c r="F29" s="451">
        <v>400</v>
      </c>
      <c r="G29" s="54">
        <v>412</v>
      </c>
      <c r="H29" s="55">
        <v>432.6</v>
      </c>
      <c r="I29" s="110"/>
      <c r="J29" s="111"/>
      <c r="K29" s="448">
        <v>0.03</v>
      </c>
      <c r="L29" s="448">
        <v>0.05</v>
      </c>
      <c r="M29" s="394">
        <v>2.7045300878972278E-3</v>
      </c>
      <c r="N29" s="395">
        <v>2.6619286060410273E-3</v>
      </c>
      <c r="O29" s="396">
        <v>2.690410607904683E-3</v>
      </c>
      <c r="Q29" s="458">
        <v>0.65</v>
      </c>
      <c r="R29" s="343">
        <v>0.68250000000000011</v>
      </c>
      <c r="S29" s="343">
        <v>0.68932500000000008</v>
      </c>
      <c r="T29" s="60">
        <v>0.05</v>
      </c>
      <c r="U29" s="37">
        <v>0.01</v>
      </c>
      <c r="W29" s="464">
        <v>0.05</v>
      </c>
      <c r="X29" s="483">
        <v>0.1</v>
      </c>
      <c r="Y29" s="374">
        <v>0.1</v>
      </c>
      <c r="AA29" s="401">
        <v>0.63157894736842102</v>
      </c>
      <c r="AB29" s="395">
        <v>0.64722222222222237</v>
      </c>
      <c r="AC29" s="396">
        <v>0.65480555555555564</v>
      </c>
      <c r="AD29" s="15"/>
      <c r="AE29" s="63">
        <v>42.10526315789474</v>
      </c>
      <c r="AF29" s="62">
        <v>43.368421052631582</v>
      </c>
      <c r="AG29" s="62">
        <v>45.536842105263162</v>
      </c>
      <c r="AH29" s="60">
        <v>0.03</v>
      </c>
      <c r="AI29" s="37">
        <v>0.05</v>
      </c>
      <c r="AJ29" s="15"/>
      <c r="AK29" s="63">
        <v>50.526315789473685</v>
      </c>
      <c r="AL29" s="62">
        <v>52.0421052631579</v>
      </c>
      <c r="AM29" s="62">
        <v>54.644210526315796</v>
      </c>
      <c r="AN29" s="434">
        <v>3.0000000000000027E-2</v>
      </c>
      <c r="AO29" s="435">
        <v>5.0000000000000044E-2</v>
      </c>
      <c r="AQ29" s="63">
        <v>40</v>
      </c>
      <c r="AR29" s="64">
        <v>39.031578947368423</v>
      </c>
      <c r="AS29" s="65">
        <v>40.983157894736848</v>
      </c>
      <c r="AT29" s="56">
        <v>-2.421052631578946E-2</v>
      </c>
      <c r="AU29" s="27">
        <v>5.0000000000000044E-2</v>
      </c>
      <c r="AW29" s="66">
        <v>21.052631578947398</v>
      </c>
      <c r="AX29" s="54">
        <v>45.777777777777771</v>
      </c>
      <c r="AY29" s="55">
        <v>48.066666666666663</v>
      </c>
      <c r="BA29" s="66">
        <v>252.63157894736841</v>
      </c>
      <c r="BB29" s="54">
        <v>266.65555555555562</v>
      </c>
      <c r="BC29" s="55">
        <v>283.26888333333341</v>
      </c>
      <c r="BE29" s="67">
        <v>147.36842105263159</v>
      </c>
      <c r="BF29" s="54">
        <v>145.34444444444438</v>
      </c>
      <c r="BG29" s="55">
        <v>149.33111666666662</v>
      </c>
      <c r="BI29" s="68">
        <v>421.0526315789474</v>
      </c>
      <c r="BJ29" s="62">
        <v>457.77777777777777</v>
      </c>
      <c r="BK29" s="69">
        <v>480.66666666666669</v>
      </c>
      <c r="BM29" s="451">
        <v>10</v>
      </c>
      <c r="BN29" s="54">
        <v>10.555555555555555</v>
      </c>
      <c r="BO29" s="55">
        <v>10.555555555555555</v>
      </c>
      <c r="BP29" s="56">
        <v>5.555555555555558E-2</v>
      </c>
      <c r="BQ29" s="27">
        <v>0</v>
      </c>
      <c r="BR29" s="394">
        <v>2.205071664829107E-3</v>
      </c>
      <c r="BS29" s="395">
        <v>2.1897527112034786E-3</v>
      </c>
      <c r="BT29" s="396">
        <v>2.2170954692264629E-3</v>
      </c>
      <c r="BV29" s="451">
        <v>4</v>
      </c>
      <c r="BW29" s="469">
        <v>4</v>
      </c>
      <c r="BX29" s="70">
        <v>0</v>
      </c>
      <c r="BY29" s="451">
        <v>4</v>
      </c>
      <c r="BZ29" s="71">
        <v>3157.0663001309117</v>
      </c>
      <c r="CA29" s="70">
        <v>788.26657503272793</v>
      </c>
      <c r="CB29" s="113">
        <v>5</v>
      </c>
      <c r="CC29" s="71">
        <v>4.5238095238095255</v>
      </c>
      <c r="CD29" s="70">
        <v>-9.52380952380949E-2</v>
      </c>
      <c r="CF29" s="475">
        <v>3163.6218556864674</v>
      </c>
      <c r="CG29" s="475">
        <v>45981.486104705182</v>
      </c>
      <c r="CH29" s="229">
        <v>3.3323281744019979E-3</v>
      </c>
      <c r="CI29" s="72">
        <v>10.079365079365081</v>
      </c>
      <c r="CJ29" s="72">
        <v>1505.1628425925924</v>
      </c>
      <c r="CK29" s="250">
        <v>0.7</v>
      </c>
      <c r="CM29" s="215">
        <v>2.5</v>
      </c>
      <c r="CN29" s="216">
        <v>6.6784778004298165E-3</v>
      </c>
      <c r="CO29" s="217">
        <v>2.2166666666666663</v>
      </c>
    </row>
    <row r="30" spans="1:93" ht="13.5" customHeight="1" x14ac:dyDescent="0.25">
      <c r="B30" s="540" t="s">
        <v>37</v>
      </c>
      <c r="C30" s="540"/>
      <c r="D30" s="540"/>
      <c r="E30" s="540"/>
      <c r="F30" s="88">
        <v>1600</v>
      </c>
      <c r="G30" s="89">
        <v>1648</v>
      </c>
      <c r="H30" s="90">
        <v>1730.4</v>
      </c>
      <c r="I30" s="90"/>
      <c r="J30" s="92"/>
      <c r="K30" s="94">
        <v>3.0000000000000027E-2</v>
      </c>
      <c r="L30" s="94">
        <v>5.0000000000000044E-2</v>
      </c>
      <c r="M30" s="366">
        <v>1.0818120351588911E-2</v>
      </c>
      <c r="N30" s="367">
        <v>1.0647714424164109E-2</v>
      </c>
      <c r="O30" s="94">
        <v>1.0761642431618732E-2</v>
      </c>
      <c r="Q30" s="345">
        <v>0.68157894736842106</v>
      </c>
      <c r="R30" s="346">
        <v>0.74722222222222234</v>
      </c>
      <c r="S30" s="346">
        <v>0.75480555555555562</v>
      </c>
      <c r="T30" s="126">
        <v>9.6310596310596575E-2</v>
      </c>
      <c r="U30" s="98">
        <v>1.0148698884758334E-2</v>
      </c>
      <c r="V30" s="13"/>
      <c r="W30" s="375">
        <v>5.0000000000000065E-2</v>
      </c>
      <c r="X30" s="376">
        <v>9.9999999999999992E-2</v>
      </c>
      <c r="Y30" s="377">
        <v>9.9999999999999992E-2</v>
      </c>
      <c r="AA30" s="366">
        <v>0.63157894736842102</v>
      </c>
      <c r="AB30" s="367">
        <v>0.64722222222222237</v>
      </c>
      <c r="AC30" s="94">
        <v>0.65480555555555564</v>
      </c>
      <c r="AD30" s="15"/>
      <c r="AE30" s="95">
        <v>42.10526315789474</v>
      </c>
      <c r="AF30" s="96">
        <v>43.368421052631582</v>
      </c>
      <c r="AG30" s="96">
        <v>45.536842105263162</v>
      </c>
      <c r="AH30" s="126">
        <v>3.0000000000000027E-2</v>
      </c>
      <c r="AI30" s="98">
        <v>5.0000000000000044E-2</v>
      </c>
      <c r="AJ30" s="15"/>
      <c r="AK30" s="95">
        <v>50.526315789473685</v>
      </c>
      <c r="AL30" s="96">
        <v>52.0421052631579</v>
      </c>
      <c r="AM30" s="96">
        <v>54.644210526315796</v>
      </c>
      <c r="AN30" s="126">
        <v>3.0000000000000027E-2</v>
      </c>
      <c r="AO30" s="98">
        <v>5.0000000000000044E-2</v>
      </c>
      <c r="AQ30" s="95">
        <v>40</v>
      </c>
      <c r="AR30" s="96">
        <v>39.031578947368423</v>
      </c>
      <c r="AS30" s="99">
        <v>40.983157894736848</v>
      </c>
      <c r="AT30" s="91">
        <v>-2.421052631578946E-2</v>
      </c>
      <c r="AU30" s="92">
        <v>5.0000000000000044E-2</v>
      </c>
      <c r="AW30" s="88">
        <v>84.210526315789593</v>
      </c>
      <c r="AX30" s="89">
        <v>183.11111111111109</v>
      </c>
      <c r="AY30" s="90">
        <v>192.26666666666665</v>
      </c>
      <c r="BA30" s="88">
        <v>1010.5263157894736</v>
      </c>
      <c r="BB30" s="89">
        <v>1066.6222222222225</v>
      </c>
      <c r="BC30" s="90">
        <v>1133.0755333333336</v>
      </c>
      <c r="BE30" s="88">
        <v>589.47368421052636</v>
      </c>
      <c r="BF30" s="89">
        <v>581.37777777777751</v>
      </c>
      <c r="BG30" s="90">
        <v>597.32446666666647</v>
      </c>
      <c r="BI30" s="100">
        <v>1684.2105263157896</v>
      </c>
      <c r="BJ30" s="101">
        <v>1831.1111111111111</v>
      </c>
      <c r="BK30" s="102">
        <v>1922.6666666666667</v>
      </c>
      <c r="BM30" s="88">
        <v>40</v>
      </c>
      <c r="BN30" s="89">
        <v>42.222222222222221</v>
      </c>
      <c r="BO30" s="90">
        <v>42.222222222222221</v>
      </c>
      <c r="BP30" s="91">
        <v>5.555555555555558E-2</v>
      </c>
      <c r="BQ30" s="92">
        <v>0</v>
      </c>
      <c r="BR30" s="366">
        <v>8.8202866593164279E-3</v>
      </c>
      <c r="BS30" s="367">
        <v>8.7590108448139144E-3</v>
      </c>
      <c r="BT30" s="94">
        <v>8.8683818769058516E-3</v>
      </c>
      <c r="BV30" s="88">
        <v>16</v>
      </c>
      <c r="BW30" s="282">
        <v>16</v>
      </c>
      <c r="BX30" s="103">
        <v>0</v>
      </c>
      <c r="BY30" s="88">
        <v>16</v>
      </c>
      <c r="BZ30" s="282">
        <v>12628.265200523647</v>
      </c>
      <c r="CA30" s="103">
        <v>788.26657503272793</v>
      </c>
      <c r="CB30" s="282">
        <v>20</v>
      </c>
      <c r="CC30" s="282">
        <v>18.095238095238102</v>
      </c>
      <c r="CD30" s="103">
        <v>-9.52380952380949E-2</v>
      </c>
      <c r="CF30" s="115">
        <v>12654.487422745869</v>
      </c>
      <c r="CG30" s="115">
        <v>183925.94441882073</v>
      </c>
      <c r="CH30" s="308">
        <v>3.3323281744019979E-3</v>
      </c>
      <c r="CI30" s="115">
        <v>40.317460317460323</v>
      </c>
      <c r="CJ30" s="115">
        <v>6020.6513703703695</v>
      </c>
      <c r="CK30" s="308">
        <v>0.7</v>
      </c>
      <c r="CM30" s="290">
        <v>2.5</v>
      </c>
      <c r="CN30" s="291">
        <v>6.6784778004298165E-3</v>
      </c>
      <c r="CO30" s="292">
        <v>2.2166666666666663</v>
      </c>
    </row>
    <row r="31" spans="1:93" ht="13.5" customHeight="1" x14ac:dyDescent="0.25">
      <c r="B31" s="541" t="s">
        <v>38</v>
      </c>
      <c r="C31" s="541"/>
      <c r="D31" s="541"/>
      <c r="E31" s="541"/>
      <c r="F31" s="4">
        <v>2800</v>
      </c>
      <c r="G31" s="5">
        <v>2908</v>
      </c>
      <c r="H31" s="6">
        <v>3028.2000000000003</v>
      </c>
      <c r="I31" s="6"/>
      <c r="J31" s="8"/>
      <c r="K31" s="9">
        <v>3.8571428571428479E-2</v>
      </c>
      <c r="L31" s="9">
        <v>4.1334250343878942E-2</v>
      </c>
      <c r="M31" s="402">
        <v>1.8931710615280595E-2</v>
      </c>
      <c r="N31" s="318">
        <v>1.8788564044580843E-2</v>
      </c>
      <c r="O31" s="9">
        <v>1.8832874255332782E-2</v>
      </c>
      <c r="Q31" s="347">
        <v>0.68157894736842106</v>
      </c>
      <c r="R31" s="348">
        <v>0.74722222222222245</v>
      </c>
      <c r="S31" s="348">
        <v>0.75480555555555562</v>
      </c>
      <c r="T31" s="7">
        <v>9.6310596310596575E-2</v>
      </c>
      <c r="U31" s="8">
        <v>1.0148698884758112E-2</v>
      </c>
      <c r="V31" s="13"/>
      <c r="W31" s="379">
        <v>5.0000000000000031E-2</v>
      </c>
      <c r="X31" s="380">
        <v>0.10000000000000006</v>
      </c>
      <c r="Y31" s="381">
        <v>0.1</v>
      </c>
      <c r="AA31" s="402">
        <v>0.63157894736842102</v>
      </c>
      <c r="AB31" s="318">
        <v>0.64722222222222237</v>
      </c>
      <c r="AC31" s="9">
        <v>0.65480555555555564</v>
      </c>
      <c r="AD31" s="15"/>
      <c r="AE31" s="10">
        <v>42.10526315789474</v>
      </c>
      <c r="AF31" s="11">
        <v>43.368421052631589</v>
      </c>
      <c r="AG31" s="11">
        <v>45.536842105263162</v>
      </c>
      <c r="AH31" s="7">
        <v>3.0000000000000249E-2</v>
      </c>
      <c r="AI31" s="8">
        <v>4.9999999999999822E-2</v>
      </c>
      <c r="AJ31" s="15"/>
      <c r="AK31" s="10">
        <v>50.526315789473685</v>
      </c>
      <c r="AL31" s="11">
        <v>52.042105263157907</v>
      </c>
      <c r="AM31" s="11">
        <v>54.644210526315796</v>
      </c>
      <c r="AN31" s="7">
        <v>3.0000000000000249E-2</v>
      </c>
      <c r="AO31" s="8">
        <v>4.9999999999999822E-2</v>
      </c>
      <c r="AQ31" s="10">
        <v>40</v>
      </c>
      <c r="AR31" s="11">
        <v>39.031578947368423</v>
      </c>
      <c r="AS31" s="12">
        <v>40.983157894736848</v>
      </c>
      <c r="AT31" s="7">
        <v>-2.421052631578946E-2</v>
      </c>
      <c r="AU31" s="8">
        <v>5.0000000000000044E-2</v>
      </c>
      <c r="AW31" s="4">
        <v>147.36842105263179</v>
      </c>
      <c r="AX31" s="5">
        <v>323.11111111111097</v>
      </c>
      <c r="AY31" s="6">
        <v>336.46666666666664</v>
      </c>
      <c r="BA31" s="4">
        <v>1768.4210526315787</v>
      </c>
      <c r="BB31" s="5">
        <v>1882.1222222222227</v>
      </c>
      <c r="BC31" s="6">
        <v>1982.8821833333338</v>
      </c>
      <c r="BE31" s="4">
        <v>1031.5789473684213</v>
      </c>
      <c r="BF31" s="5">
        <v>1025.8777777777773</v>
      </c>
      <c r="BG31" s="6">
        <v>1045.3178166666662</v>
      </c>
      <c r="BI31" s="116">
        <v>2947.3684210526317</v>
      </c>
      <c r="BJ31" s="16">
        <v>3231.1111111111113</v>
      </c>
      <c r="BK31" s="17">
        <v>3364.666666666667</v>
      </c>
      <c r="BM31" s="4">
        <v>70</v>
      </c>
      <c r="BN31" s="5">
        <v>74.503775620280464</v>
      </c>
      <c r="BO31" s="6">
        <v>73.888888888888886</v>
      </c>
      <c r="BP31" s="7">
        <v>6.4339651718292368E-2</v>
      </c>
      <c r="BQ31" s="8">
        <v>-8.2530949105913409E-3</v>
      </c>
      <c r="BR31" s="402">
        <v>1.5435501653803748E-2</v>
      </c>
      <c r="BS31" s="318">
        <v>1.5455827388785717E-2</v>
      </c>
      <c r="BT31" s="9">
        <v>1.5519668284585239E-2</v>
      </c>
      <c r="BV31" s="4">
        <v>28</v>
      </c>
      <c r="BW31" s="283">
        <v>28</v>
      </c>
      <c r="BX31" s="18">
        <v>0</v>
      </c>
      <c r="BY31" s="4">
        <v>28</v>
      </c>
      <c r="BZ31" s="283">
        <v>21918.070822431473</v>
      </c>
      <c r="CA31" s="18">
        <v>781.78824365826688</v>
      </c>
      <c r="CB31" s="283">
        <v>35</v>
      </c>
      <c r="CC31" s="283">
        <v>31.666666666666679</v>
      </c>
      <c r="CD31" s="18">
        <v>-9.52380952380949E-2</v>
      </c>
      <c r="CF31" s="117">
        <v>21964.574598051757</v>
      </c>
      <c r="CG31" s="117">
        <v>321870.40273293626</v>
      </c>
      <c r="CH31" s="309">
        <v>3.3876786589088345E-3</v>
      </c>
      <c r="CI31" s="117">
        <v>70.555555555555571</v>
      </c>
      <c r="CJ31" s="117">
        <v>10536.139898148147</v>
      </c>
      <c r="CK31" s="309">
        <v>0.69999999999999984</v>
      </c>
      <c r="CM31" s="293">
        <v>2.5</v>
      </c>
      <c r="CN31" s="294">
        <v>6.7897143158882744E-3</v>
      </c>
      <c r="CO31" s="295">
        <v>2.2166666666666659</v>
      </c>
    </row>
    <row r="32" spans="1:93" ht="13.5" customHeight="1" outlineLevel="1" x14ac:dyDescent="0.25">
      <c r="B32" s="23" t="s">
        <v>22</v>
      </c>
      <c r="C32" s="23" t="s">
        <v>39</v>
      </c>
      <c r="D32" s="23" t="s">
        <v>24</v>
      </c>
      <c r="E32" s="24" t="s">
        <v>26</v>
      </c>
      <c r="F32" s="450">
        <v>400</v>
      </c>
      <c r="G32" s="25">
        <v>420</v>
      </c>
      <c r="H32" s="30">
        <v>432.6</v>
      </c>
      <c r="I32" s="106"/>
      <c r="J32" s="107"/>
      <c r="K32" s="447">
        <v>0.05</v>
      </c>
      <c r="L32" s="447">
        <v>0.03</v>
      </c>
      <c r="M32" s="391">
        <v>2.7045300878972278E-3</v>
      </c>
      <c r="N32" s="392">
        <v>2.7136165401389113E-3</v>
      </c>
      <c r="O32" s="393">
        <v>2.690410607904683E-3</v>
      </c>
      <c r="Q32" s="457">
        <v>0.65</v>
      </c>
      <c r="R32" s="343">
        <v>0.68250000000000011</v>
      </c>
      <c r="S32" s="343">
        <v>0.68932500000000008</v>
      </c>
      <c r="T32" s="34">
        <v>0.05</v>
      </c>
      <c r="U32" s="35">
        <v>0.01</v>
      </c>
      <c r="V32" s="29"/>
      <c r="W32" s="463">
        <v>0.05</v>
      </c>
      <c r="X32" s="482">
        <v>0.1</v>
      </c>
      <c r="Y32" s="378">
        <v>0.1</v>
      </c>
      <c r="AA32" s="400">
        <v>0.63157894736842102</v>
      </c>
      <c r="AB32" s="392">
        <v>0.64722222222222237</v>
      </c>
      <c r="AC32" s="393">
        <v>0.65480555555555564</v>
      </c>
      <c r="AD32" s="15"/>
      <c r="AE32" s="38">
        <v>42.10526315789474</v>
      </c>
      <c r="AF32" s="62">
        <v>43.368421052631582</v>
      </c>
      <c r="AG32" s="62">
        <v>45.536842105263162</v>
      </c>
      <c r="AH32" s="34">
        <v>0.03</v>
      </c>
      <c r="AI32" s="35">
        <v>0.05</v>
      </c>
      <c r="AJ32" s="15"/>
      <c r="AK32" s="38">
        <v>50.526315789473685</v>
      </c>
      <c r="AL32" s="62">
        <v>52.0421052631579</v>
      </c>
      <c r="AM32" s="62">
        <v>54.644210526315796</v>
      </c>
      <c r="AN32" s="432">
        <v>3.0000000000000027E-2</v>
      </c>
      <c r="AO32" s="433">
        <v>5.0000000000000044E-2</v>
      </c>
      <c r="AQ32" s="38">
        <v>40</v>
      </c>
      <c r="AR32" s="64">
        <v>39.031578947368423</v>
      </c>
      <c r="AS32" s="65">
        <v>40.983157894736848</v>
      </c>
      <c r="AT32" s="26">
        <v>-2.421052631578946E-2</v>
      </c>
      <c r="AU32" s="28">
        <v>5.0000000000000044E-2</v>
      </c>
      <c r="AW32" s="41">
        <v>21.052631578947398</v>
      </c>
      <c r="AX32" s="25">
        <v>46.666666666666629</v>
      </c>
      <c r="AY32" s="30">
        <v>48.066666666666663</v>
      </c>
      <c r="BA32" s="41">
        <v>252.63157894736841</v>
      </c>
      <c r="BB32" s="25">
        <v>271.83333333333337</v>
      </c>
      <c r="BC32" s="30">
        <v>283.26888333333341</v>
      </c>
      <c r="BE32" s="67">
        <v>147.36842105263159</v>
      </c>
      <c r="BF32" s="54">
        <v>148.16666666666663</v>
      </c>
      <c r="BG32" s="55">
        <v>149.33111666666662</v>
      </c>
      <c r="BI32" s="43">
        <v>421.0526315789474</v>
      </c>
      <c r="BJ32" s="44">
        <v>466.66666666666663</v>
      </c>
      <c r="BK32" s="45">
        <v>480.66666666666669</v>
      </c>
      <c r="BM32" s="451">
        <v>10</v>
      </c>
      <c r="BN32" s="54">
        <v>10.760517799352749</v>
      </c>
      <c r="BO32" s="55">
        <v>10.555555555555555</v>
      </c>
      <c r="BP32" s="26">
        <v>7.6051779935274899E-2</v>
      </c>
      <c r="BQ32" s="28">
        <v>-1.904761904761898E-2</v>
      </c>
      <c r="BR32" s="391">
        <v>2.205071664829107E-3</v>
      </c>
      <c r="BS32" s="392">
        <v>2.2322721813239342E-3</v>
      </c>
      <c r="BT32" s="393">
        <v>2.2170954692264629E-3</v>
      </c>
      <c r="BV32" s="451">
        <v>4</v>
      </c>
      <c r="BW32" s="470">
        <v>4</v>
      </c>
      <c r="BX32" s="46">
        <v>0</v>
      </c>
      <c r="BY32" s="451">
        <v>4</v>
      </c>
      <c r="BZ32" s="243">
        <v>3096.6018739692763</v>
      </c>
      <c r="CA32" s="46">
        <v>773.15046849231908</v>
      </c>
      <c r="CB32" s="109">
        <v>5</v>
      </c>
      <c r="CC32" s="243">
        <v>4.5238095238095255</v>
      </c>
      <c r="CD32" s="46">
        <v>-9.52380952380949E-2</v>
      </c>
      <c r="CF32" s="474">
        <v>3103.3623917686291</v>
      </c>
      <c r="CG32" s="474">
        <v>45981.486104705182</v>
      </c>
      <c r="CH32" s="228">
        <v>3.4629104824906326E-3</v>
      </c>
      <c r="CI32" s="49">
        <v>10.079365079365081</v>
      </c>
      <c r="CJ32" s="49">
        <v>1505.1628425925924</v>
      </c>
      <c r="CK32" s="249">
        <v>0.7</v>
      </c>
      <c r="CM32" s="214">
        <v>2.5</v>
      </c>
      <c r="CN32" s="51">
        <v>6.94092194789106E-3</v>
      </c>
      <c r="CO32" s="226">
        <v>2.2166666666666663</v>
      </c>
    </row>
    <row r="33" spans="2:93" ht="13.5" customHeight="1" outlineLevel="1" x14ac:dyDescent="0.25">
      <c r="B33" s="53"/>
      <c r="C33" s="53"/>
      <c r="D33" s="53"/>
      <c r="E33" s="24" t="s">
        <v>28</v>
      </c>
      <c r="F33" s="451">
        <v>400</v>
      </c>
      <c r="G33" s="54">
        <v>420</v>
      </c>
      <c r="H33" s="55">
        <v>432.6</v>
      </c>
      <c r="I33" s="110"/>
      <c r="J33" s="111"/>
      <c r="K33" s="448">
        <v>0.05</v>
      </c>
      <c r="L33" s="448">
        <v>0.03</v>
      </c>
      <c r="M33" s="394">
        <v>2.7045300878972278E-3</v>
      </c>
      <c r="N33" s="395">
        <v>2.7136165401389113E-3</v>
      </c>
      <c r="O33" s="396">
        <v>2.690410607904683E-3</v>
      </c>
      <c r="Q33" s="458">
        <v>0.65</v>
      </c>
      <c r="R33" s="343">
        <v>0.68250000000000011</v>
      </c>
      <c r="S33" s="343">
        <v>0.68932500000000008</v>
      </c>
      <c r="T33" s="60">
        <v>0.05</v>
      </c>
      <c r="U33" s="37">
        <v>0.01</v>
      </c>
      <c r="W33" s="464">
        <v>0.05</v>
      </c>
      <c r="X33" s="483">
        <v>0.1</v>
      </c>
      <c r="Y33" s="374">
        <v>0.1</v>
      </c>
      <c r="AA33" s="401">
        <v>0.63157894736842102</v>
      </c>
      <c r="AB33" s="395">
        <v>0.64722222222222237</v>
      </c>
      <c r="AC33" s="396">
        <v>0.65480555555555564</v>
      </c>
      <c r="AD33" s="15"/>
      <c r="AE33" s="63">
        <v>42.10526315789474</v>
      </c>
      <c r="AF33" s="62">
        <v>43.368421052631582</v>
      </c>
      <c r="AG33" s="62">
        <v>45.536842105263162</v>
      </c>
      <c r="AH33" s="60">
        <v>0.03</v>
      </c>
      <c r="AI33" s="37">
        <v>0.05</v>
      </c>
      <c r="AJ33" s="15"/>
      <c r="AK33" s="63">
        <v>50.526315789473685</v>
      </c>
      <c r="AL33" s="62">
        <v>52.0421052631579</v>
      </c>
      <c r="AM33" s="62">
        <v>54.644210526315796</v>
      </c>
      <c r="AN33" s="434">
        <v>3.0000000000000027E-2</v>
      </c>
      <c r="AO33" s="435">
        <v>5.0000000000000044E-2</v>
      </c>
      <c r="AQ33" s="63">
        <v>40</v>
      </c>
      <c r="AR33" s="64">
        <v>39.031578947368423</v>
      </c>
      <c r="AS33" s="65">
        <v>40.983157894736848</v>
      </c>
      <c r="AT33" s="56">
        <v>-2.421052631578946E-2</v>
      </c>
      <c r="AU33" s="27">
        <v>5.0000000000000044E-2</v>
      </c>
      <c r="AW33" s="66">
        <v>21.052631578947398</v>
      </c>
      <c r="AX33" s="54">
        <v>46.666666666666629</v>
      </c>
      <c r="AY33" s="55">
        <v>48.066666666666663</v>
      </c>
      <c r="BA33" s="66">
        <v>252.63157894736841</v>
      </c>
      <c r="BB33" s="54">
        <v>271.83333333333337</v>
      </c>
      <c r="BC33" s="55">
        <v>283.26888333333341</v>
      </c>
      <c r="BE33" s="67">
        <v>147.36842105263159</v>
      </c>
      <c r="BF33" s="54">
        <v>148.16666666666663</v>
      </c>
      <c r="BG33" s="55">
        <v>149.33111666666662</v>
      </c>
      <c r="BI33" s="68">
        <v>421.0526315789474</v>
      </c>
      <c r="BJ33" s="62">
        <v>466.66666666666663</v>
      </c>
      <c r="BK33" s="69">
        <v>480.66666666666669</v>
      </c>
      <c r="BM33" s="451">
        <v>10</v>
      </c>
      <c r="BN33" s="54">
        <v>10.760517799352749</v>
      </c>
      <c r="BO33" s="55">
        <v>10.555555555555555</v>
      </c>
      <c r="BP33" s="56">
        <v>7.6051779935274899E-2</v>
      </c>
      <c r="BQ33" s="27">
        <v>-1.904761904761898E-2</v>
      </c>
      <c r="BR33" s="394">
        <v>2.205071664829107E-3</v>
      </c>
      <c r="BS33" s="395">
        <v>2.2322721813239342E-3</v>
      </c>
      <c r="BT33" s="396">
        <v>2.2170954692264629E-3</v>
      </c>
      <c r="BV33" s="451">
        <v>4</v>
      </c>
      <c r="BW33" s="469">
        <v>4</v>
      </c>
      <c r="BX33" s="70">
        <v>0</v>
      </c>
      <c r="BY33" s="451">
        <v>4</v>
      </c>
      <c r="BZ33" s="71">
        <v>3096.6018739692763</v>
      </c>
      <c r="CA33" s="70">
        <v>773.15046849231908</v>
      </c>
      <c r="CB33" s="113">
        <v>5</v>
      </c>
      <c r="CC33" s="71">
        <v>4.5238095238095255</v>
      </c>
      <c r="CD33" s="70">
        <v>-9.52380952380949E-2</v>
      </c>
      <c r="CF33" s="475">
        <v>3103.3623917686291</v>
      </c>
      <c r="CG33" s="475">
        <v>45981.486104705182</v>
      </c>
      <c r="CH33" s="229">
        <v>3.4629104824906326E-3</v>
      </c>
      <c r="CI33" s="72">
        <v>10.079365079365081</v>
      </c>
      <c r="CJ33" s="72">
        <v>1505.1628425925924</v>
      </c>
      <c r="CK33" s="250">
        <v>0.7</v>
      </c>
      <c r="CM33" s="215">
        <v>2.5</v>
      </c>
      <c r="CN33" s="216">
        <v>6.94092194789106E-3</v>
      </c>
      <c r="CO33" s="217">
        <v>2.2166666666666663</v>
      </c>
    </row>
    <row r="34" spans="2:93" ht="13.5" customHeight="1" outlineLevel="1" x14ac:dyDescent="0.25">
      <c r="B34" s="53"/>
      <c r="C34" s="53"/>
      <c r="D34" s="53"/>
      <c r="E34" s="24" t="s">
        <v>29</v>
      </c>
      <c r="F34" s="451">
        <v>400</v>
      </c>
      <c r="G34" s="54">
        <v>420</v>
      </c>
      <c r="H34" s="55">
        <v>432.6</v>
      </c>
      <c r="I34" s="110"/>
      <c r="J34" s="111"/>
      <c r="K34" s="448">
        <v>0.05</v>
      </c>
      <c r="L34" s="448">
        <v>0.03</v>
      </c>
      <c r="M34" s="394">
        <v>2.7045300878972278E-3</v>
      </c>
      <c r="N34" s="395">
        <v>2.7136165401389113E-3</v>
      </c>
      <c r="O34" s="396">
        <v>2.690410607904683E-3</v>
      </c>
      <c r="Q34" s="458">
        <v>0.65</v>
      </c>
      <c r="R34" s="343">
        <v>0.68250000000000011</v>
      </c>
      <c r="S34" s="343">
        <v>0.68932500000000008</v>
      </c>
      <c r="T34" s="60">
        <v>0.05</v>
      </c>
      <c r="U34" s="37">
        <v>0.01</v>
      </c>
      <c r="W34" s="464">
        <v>0.05</v>
      </c>
      <c r="X34" s="483">
        <v>0.1</v>
      </c>
      <c r="Y34" s="374">
        <v>0.1</v>
      </c>
      <c r="AA34" s="401">
        <v>0.63157894736842102</v>
      </c>
      <c r="AB34" s="395">
        <v>0.64722222222222237</v>
      </c>
      <c r="AC34" s="396">
        <v>0.65480555555555564</v>
      </c>
      <c r="AD34" s="15"/>
      <c r="AE34" s="63">
        <v>42.10526315789474</v>
      </c>
      <c r="AF34" s="62">
        <v>43.368421052631582</v>
      </c>
      <c r="AG34" s="62">
        <v>45.536842105263162</v>
      </c>
      <c r="AH34" s="60">
        <v>0.03</v>
      </c>
      <c r="AI34" s="37">
        <v>0.05</v>
      </c>
      <c r="AJ34" s="15"/>
      <c r="AK34" s="63">
        <v>50.526315789473685</v>
      </c>
      <c r="AL34" s="62">
        <v>52.0421052631579</v>
      </c>
      <c r="AM34" s="62">
        <v>54.644210526315796</v>
      </c>
      <c r="AN34" s="434">
        <v>3.0000000000000027E-2</v>
      </c>
      <c r="AO34" s="435">
        <v>5.0000000000000044E-2</v>
      </c>
      <c r="AQ34" s="63">
        <v>40</v>
      </c>
      <c r="AR34" s="64">
        <v>39.031578947368423</v>
      </c>
      <c r="AS34" s="65">
        <v>40.983157894736848</v>
      </c>
      <c r="AT34" s="56">
        <v>-2.421052631578946E-2</v>
      </c>
      <c r="AU34" s="27">
        <v>5.0000000000000044E-2</v>
      </c>
      <c r="AW34" s="66">
        <v>21.052631578947398</v>
      </c>
      <c r="AX34" s="54">
        <v>46.666666666666629</v>
      </c>
      <c r="AY34" s="55">
        <v>48.066666666666663</v>
      </c>
      <c r="BA34" s="66">
        <v>252.63157894736841</v>
      </c>
      <c r="BB34" s="54">
        <v>271.83333333333337</v>
      </c>
      <c r="BC34" s="55">
        <v>283.26888333333341</v>
      </c>
      <c r="BE34" s="67">
        <v>147.36842105263159</v>
      </c>
      <c r="BF34" s="54">
        <v>148.16666666666663</v>
      </c>
      <c r="BG34" s="55">
        <v>149.33111666666662</v>
      </c>
      <c r="BI34" s="68">
        <v>421.0526315789474</v>
      </c>
      <c r="BJ34" s="62">
        <v>466.66666666666663</v>
      </c>
      <c r="BK34" s="69">
        <v>480.66666666666669</v>
      </c>
      <c r="BM34" s="451">
        <v>10</v>
      </c>
      <c r="BN34" s="54">
        <v>10.760517799352749</v>
      </c>
      <c r="BO34" s="55">
        <v>10.555555555555555</v>
      </c>
      <c r="BP34" s="56">
        <v>7.6051779935274899E-2</v>
      </c>
      <c r="BQ34" s="27">
        <v>-1.904761904761898E-2</v>
      </c>
      <c r="BR34" s="394">
        <v>2.205071664829107E-3</v>
      </c>
      <c r="BS34" s="395">
        <v>2.2322721813239342E-3</v>
      </c>
      <c r="BT34" s="396">
        <v>2.2170954692264629E-3</v>
      </c>
      <c r="BV34" s="451">
        <v>4</v>
      </c>
      <c r="BW34" s="469">
        <v>4</v>
      </c>
      <c r="BX34" s="70">
        <v>0</v>
      </c>
      <c r="BY34" s="451">
        <v>4</v>
      </c>
      <c r="BZ34" s="71">
        <v>3096.6018739692763</v>
      </c>
      <c r="CA34" s="70">
        <v>773.15046849231908</v>
      </c>
      <c r="CB34" s="113">
        <v>5</v>
      </c>
      <c r="CC34" s="71">
        <v>4.5238095238095255</v>
      </c>
      <c r="CD34" s="70">
        <v>-9.52380952380949E-2</v>
      </c>
      <c r="CF34" s="475">
        <v>3103.3623917686291</v>
      </c>
      <c r="CG34" s="475">
        <v>45981.486104705182</v>
      </c>
      <c r="CH34" s="229">
        <v>3.4629104824906326E-3</v>
      </c>
      <c r="CI34" s="72">
        <v>10.079365079365081</v>
      </c>
      <c r="CJ34" s="72">
        <v>1505.1628425925924</v>
      </c>
      <c r="CK34" s="250">
        <v>0.7</v>
      </c>
      <c r="CM34" s="215">
        <v>2.5</v>
      </c>
      <c r="CN34" s="216">
        <v>6.94092194789106E-3</v>
      </c>
      <c r="CO34" s="217">
        <v>2.2166666666666663</v>
      </c>
    </row>
    <row r="35" spans="2:93" ht="13.5" customHeight="1" outlineLevel="1" x14ac:dyDescent="0.25">
      <c r="B35" s="53"/>
      <c r="C35" s="53"/>
      <c r="D35" s="53"/>
      <c r="E35" s="24" t="s">
        <v>32</v>
      </c>
      <c r="F35" s="451">
        <v>400</v>
      </c>
      <c r="G35" s="54">
        <v>420</v>
      </c>
      <c r="H35" s="55">
        <v>432.6</v>
      </c>
      <c r="I35" s="110"/>
      <c r="J35" s="111"/>
      <c r="K35" s="448">
        <v>0.05</v>
      </c>
      <c r="L35" s="448">
        <v>0.03</v>
      </c>
      <c r="M35" s="394">
        <v>2.7045300878972278E-3</v>
      </c>
      <c r="N35" s="395">
        <v>2.7136165401389113E-3</v>
      </c>
      <c r="O35" s="396">
        <v>2.690410607904683E-3</v>
      </c>
      <c r="Q35" s="458">
        <v>0.65</v>
      </c>
      <c r="R35" s="343">
        <v>0.68250000000000011</v>
      </c>
      <c r="S35" s="343">
        <v>0.68932500000000008</v>
      </c>
      <c r="T35" s="60">
        <v>0.05</v>
      </c>
      <c r="U35" s="37">
        <v>0.01</v>
      </c>
      <c r="W35" s="464">
        <v>0.05</v>
      </c>
      <c r="X35" s="483">
        <v>0.1</v>
      </c>
      <c r="Y35" s="374">
        <v>0.1</v>
      </c>
      <c r="AA35" s="401">
        <v>0.63157894736842102</v>
      </c>
      <c r="AB35" s="395">
        <v>0.64722222222222237</v>
      </c>
      <c r="AC35" s="396">
        <v>0.65480555555555564</v>
      </c>
      <c r="AD35" s="15"/>
      <c r="AE35" s="63">
        <v>42.10526315789474</v>
      </c>
      <c r="AF35" s="62">
        <v>43.368421052631582</v>
      </c>
      <c r="AG35" s="62">
        <v>45.536842105263162</v>
      </c>
      <c r="AH35" s="60">
        <v>0.03</v>
      </c>
      <c r="AI35" s="37">
        <v>0.05</v>
      </c>
      <c r="AJ35" s="15"/>
      <c r="AK35" s="63">
        <v>50.526315789473685</v>
      </c>
      <c r="AL35" s="62">
        <v>52.0421052631579</v>
      </c>
      <c r="AM35" s="62">
        <v>54.644210526315796</v>
      </c>
      <c r="AN35" s="434">
        <v>3.0000000000000027E-2</v>
      </c>
      <c r="AO35" s="435">
        <v>5.0000000000000044E-2</v>
      </c>
      <c r="AQ35" s="63">
        <v>40</v>
      </c>
      <c r="AR35" s="64">
        <v>39.031578947368423</v>
      </c>
      <c r="AS35" s="65">
        <v>40.983157894736848</v>
      </c>
      <c r="AT35" s="56">
        <v>-2.421052631578946E-2</v>
      </c>
      <c r="AU35" s="27">
        <v>5.0000000000000044E-2</v>
      </c>
      <c r="AW35" s="66">
        <v>21.052631578947398</v>
      </c>
      <c r="AX35" s="54">
        <v>46.666666666666629</v>
      </c>
      <c r="AY35" s="55">
        <v>48.066666666666663</v>
      </c>
      <c r="BA35" s="66">
        <v>252.63157894736841</v>
      </c>
      <c r="BB35" s="54">
        <v>271.83333333333337</v>
      </c>
      <c r="BC35" s="55">
        <v>283.26888333333341</v>
      </c>
      <c r="BE35" s="67">
        <v>147.36842105263159</v>
      </c>
      <c r="BF35" s="54">
        <v>148.16666666666663</v>
      </c>
      <c r="BG35" s="55">
        <v>149.33111666666662</v>
      </c>
      <c r="BI35" s="68">
        <v>421.0526315789474</v>
      </c>
      <c r="BJ35" s="62">
        <v>466.66666666666663</v>
      </c>
      <c r="BK35" s="69">
        <v>480.66666666666669</v>
      </c>
      <c r="BM35" s="451">
        <v>10</v>
      </c>
      <c r="BN35" s="54">
        <v>10.760517799352749</v>
      </c>
      <c r="BO35" s="55">
        <v>10.555555555555555</v>
      </c>
      <c r="BP35" s="56">
        <v>7.6051779935274899E-2</v>
      </c>
      <c r="BQ35" s="27">
        <v>-1.904761904761898E-2</v>
      </c>
      <c r="BR35" s="394">
        <v>2.205071664829107E-3</v>
      </c>
      <c r="BS35" s="395">
        <v>2.2322721813239342E-3</v>
      </c>
      <c r="BT35" s="396">
        <v>2.2170954692264629E-3</v>
      </c>
      <c r="BV35" s="451">
        <v>4</v>
      </c>
      <c r="BW35" s="469">
        <v>4</v>
      </c>
      <c r="BX35" s="70">
        <v>0</v>
      </c>
      <c r="BY35" s="451">
        <v>4</v>
      </c>
      <c r="BZ35" s="71">
        <v>3096.6018739692763</v>
      </c>
      <c r="CA35" s="70">
        <v>773.15046849231908</v>
      </c>
      <c r="CB35" s="113">
        <v>5</v>
      </c>
      <c r="CC35" s="71">
        <v>4.5238095238095255</v>
      </c>
      <c r="CD35" s="70">
        <v>-9.52380952380949E-2</v>
      </c>
      <c r="CF35" s="475">
        <v>3103.3623917686291</v>
      </c>
      <c r="CG35" s="475">
        <v>45981.486104705182</v>
      </c>
      <c r="CH35" s="229">
        <v>3.4629104824906326E-3</v>
      </c>
      <c r="CI35" s="72">
        <v>10.079365079365081</v>
      </c>
      <c r="CJ35" s="72">
        <v>1505.1628425925924</v>
      </c>
      <c r="CK35" s="250">
        <v>0.7</v>
      </c>
      <c r="CM35" s="215">
        <v>2.5</v>
      </c>
      <c r="CN35" s="216">
        <v>6.94092194789106E-3</v>
      </c>
      <c r="CO35" s="217">
        <v>2.2166666666666663</v>
      </c>
    </row>
    <row r="36" spans="2:93" ht="13.5" customHeight="1" x14ac:dyDescent="0.25">
      <c r="B36" s="540" t="s">
        <v>40</v>
      </c>
      <c r="C36" s="540"/>
      <c r="D36" s="540"/>
      <c r="E36" s="540"/>
      <c r="F36" s="88">
        <v>1600</v>
      </c>
      <c r="G36" s="89">
        <v>1680</v>
      </c>
      <c r="H36" s="90">
        <v>1730.4</v>
      </c>
      <c r="I36" s="90"/>
      <c r="J36" s="92"/>
      <c r="K36" s="94">
        <v>5.0000000000000044E-2</v>
      </c>
      <c r="L36" s="94">
        <v>3.0000000000000027E-2</v>
      </c>
      <c r="M36" s="366">
        <v>1.0818120351588911E-2</v>
      </c>
      <c r="N36" s="367">
        <v>1.0854466160555645E-2</v>
      </c>
      <c r="O36" s="94">
        <v>1.0761642431618732E-2</v>
      </c>
      <c r="Q36" s="345">
        <v>0.68157894736842106</v>
      </c>
      <c r="R36" s="346">
        <v>0.74722222222222223</v>
      </c>
      <c r="S36" s="349">
        <v>0.75480555555555562</v>
      </c>
      <c r="T36" s="126">
        <v>9.6310596310596353E-2</v>
      </c>
      <c r="U36" s="98">
        <v>1.0148698884758334E-2</v>
      </c>
      <c r="V36" s="13"/>
      <c r="W36" s="375">
        <v>5.0000000000000065E-2</v>
      </c>
      <c r="X36" s="376">
        <v>9.9999999999999922E-2</v>
      </c>
      <c r="Y36" s="377">
        <v>9.9999999999999992E-2</v>
      </c>
      <c r="AA36" s="366">
        <v>0.63157894736842102</v>
      </c>
      <c r="AB36" s="367">
        <v>0.64722222222222237</v>
      </c>
      <c r="AC36" s="94">
        <v>0.65480555555555564</v>
      </c>
      <c r="AD36" s="15"/>
      <c r="AE36" s="95">
        <v>42.10526315789474</v>
      </c>
      <c r="AF36" s="96">
        <v>43.368421052631582</v>
      </c>
      <c r="AG36" s="99">
        <v>45.536842105263162</v>
      </c>
      <c r="AH36" s="126">
        <v>3.0000000000000027E-2</v>
      </c>
      <c r="AI36" s="98">
        <v>5.0000000000000044E-2</v>
      </c>
      <c r="AJ36" s="15"/>
      <c r="AK36" s="95">
        <v>50.526315789473685</v>
      </c>
      <c r="AL36" s="96">
        <v>52.0421052631579</v>
      </c>
      <c r="AM36" s="99">
        <v>54.644210526315796</v>
      </c>
      <c r="AN36" s="126">
        <v>3.0000000000000027E-2</v>
      </c>
      <c r="AO36" s="98">
        <v>5.0000000000000044E-2</v>
      </c>
      <c r="AQ36" s="95">
        <v>40</v>
      </c>
      <c r="AR36" s="96">
        <v>39.031578947368423</v>
      </c>
      <c r="AS36" s="99">
        <v>40.983157894736848</v>
      </c>
      <c r="AT36" s="91">
        <v>-2.421052631578946E-2</v>
      </c>
      <c r="AU36" s="92">
        <v>5.0000000000000044E-2</v>
      </c>
      <c r="AW36" s="88">
        <v>84.210526315789593</v>
      </c>
      <c r="AX36" s="89">
        <v>186.66666666666652</v>
      </c>
      <c r="AY36" s="90">
        <v>192.26666666666665</v>
      </c>
      <c r="BA36" s="88">
        <v>1010.5263157894736</v>
      </c>
      <c r="BB36" s="89">
        <v>1087.3333333333335</v>
      </c>
      <c r="BC36" s="90">
        <v>1133.0755333333336</v>
      </c>
      <c r="BE36" s="88">
        <v>589.47368421052636</v>
      </c>
      <c r="BF36" s="89">
        <v>592.66666666666652</v>
      </c>
      <c r="BG36" s="90">
        <v>597.32446666666647</v>
      </c>
      <c r="BI36" s="100">
        <v>1684.2105263157896</v>
      </c>
      <c r="BJ36" s="101">
        <v>1866.6666666666665</v>
      </c>
      <c r="BK36" s="102">
        <v>1922.6666666666667</v>
      </c>
      <c r="BM36" s="88">
        <v>40</v>
      </c>
      <c r="BN36" s="89">
        <v>43.042071197410998</v>
      </c>
      <c r="BO36" s="90">
        <v>42.222222222222221</v>
      </c>
      <c r="BP36" s="91">
        <v>7.6051779935274899E-2</v>
      </c>
      <c r="BQ36" s="92">
        <v>-1.904761904761898E-2</v>
      </c>
      <c r="BR36" s="366">
        <v>8.8202866593164279E-3</v>
      </c>
      <c r="BS36" s="367">
        <v>8.9290887252957366E-3</v>
      </c>
      <c r="BT36" s="94">
        <v>8.8683818769058516E-3</v>
      </c>
      <c r="BV36" s="88">
        <v>16</v>
      </c>
      <c r="BW36" s="282">
        <v>16</v>
      </c>
      <c r="BX36" s="103">
        <v>0</v>
      </c>
      <c r="BY36" s="88">
        <v>16</v>
      </c>
      <c r="BZ36" s="282">
        <v>12386.407495877105</v>
      </c>
      <c r="CA36" s="103">
        <v>773.15046849231908</v>
      </c>
      <c r="CB36" s="282">
        <v>20</v>
      </c>
      <c r="CC36" s="282">
        <v>18.095238095238102</v>
      </c>
      <c r="CD36" s="103">
        <v>-9.52380952380949E-2</v>
      </c>
      <c r="CF36" s="115">
        <v>12413.449567074516</v>
      </c>
      <c r="CG36" s="115">
        <v>183925.94441882073</v>
      </c>
      <c r="CH36" s="308">
        <v>3.4629104824906326E-3</v>
      </c>
      <c r="CI36" s="115">
        <v>40.317460317460323</v>
      </c>
      <c r="CJ36" s="115">
        <v>6020.6513703703695</v>
      </c>
      <c r="CK36" s="308">
        <v>0.7</v>
      </c>
      <c r="CM36" s="290">
        <v>2.5</v>
      </c>
      <c r="CN36" s="291">
        <v>6.94092194789106E-3</v>
      </c>
      <c r="CO36" s="292">
        <v>2.2166666666666663</v>
      </c>
    </row>
    <row r="37" spans="2:93" ht="13.5" customHeight="1" outlineLevel="1" x14ac:dyDescent="0.25">
      <c r="B37" s="23" t="s">
        <v>22</v>
      </c>
      <c r="C37" s="23" t="s">
        <v>41</v>
      </c>
      <c r="D37" s="23" t="s">
        <v>24</v>
      </c>
      <c r="E37" s="24" t="s">
        <v>25</v>
      </c>
      <c r="F37" s="450">
        <v>400</v>
      </c>
      <c r="G37" s="25">
        <v>412</v>
      </c>
      <c r="H37" s="30">
        <v>432.6</v>
      </c>
      <c r="I37" s="106"/>
      <c r="J37" s="107"/>
      <c r="K37" s="447">
        <v>0.03</v>
      </c>
      <c r="L37" s="447">
        <v>0.05</v>
      </c>
      <c r="M37" s="391">
        <v>2.7045300878972278E-3</v>
      </c>
      <c r="N37" s="392">
        <v>2.6619286060410273E-3</v>
      </c>
      <c r="O37" s="393">
        <v>2.690410607904683E-3</v>
      </c>
      <c r="Q37" s="457">
        <v>0.65</v>
      </c>
      <c r="R37" s="343">
        <v>0.68250000000000011</v>
      </c>
      <c r="S37" s="343">
        <v>0.68932500000000008</v>
      </c>
      <c r="T37" s="34">
        <v>0.05</v>
      </c>
      <c r="U37" s="35">
        <v>0.01</v>
      </c>
      <c r="V37" s="29"/>
      <c r="W37" s="463">
        <v>0.05</v>
      </c>
      <c r="X37" s="482">
        <v>0.1</v>
      </c>
      <c r="Y37" s="378">
        <v>0.1</v>
      </c>
      <c r="AA37" s="400">
        <v>0.63157894736842102</v>
      </c>
      <c r="AB37" s="392">
        <v>0.64722222222222237</v>
      </c>
      <c r="AC37" s="393">
        <v>0.65480555555555564</v>
      </c>
      <c r="AD37" s="15"/>
      <c r="AE37" s="38">
        <v>42.10526315789474</v>
      </c>
      <c r="AF37" s="62">
        <v>43.368421052631582</v>
      </c>
      <c r="AG37" s="62">
        <v>45.536842105263162</v>
      </c>
      <c r="AH37" s="34">
        <v>0.03</v>
      </c>
      <c r="AI37" s="35">
        <v>0.05</v>
      </c>
      <c r="AJ37" s="15"/>
      <c r="AK37" s="38">
        <v>50.526315789473685</v>
      </c>
      <c r="AL37" s="62">
        <v>52.0421052631579</v>
      </c>
      <c r="AM37" s="62">
        <v>54.644210526315796</v>
      </c>
      <c r="AN37" s="432">
        <v>3.0000000000000027E-2</v>
      </c>
      <c r="AO37" s="433">
        <v>5.0000000000000044E-2</v>
      </c>
      <c r="AQ37" s="38">
        <v>40</v>
      </c>
      <c r="AR37" s="64">
        <v>39.031578947368423</v>
      </c>
      <c r="AS37" s="65">
        <v>40.983157894736848</v>
      </c>
      <c r="AT37" s="26">
        <v>-2.421052631578946E-2</v>
      </c>
      <c r="AU37" s="28">
        <v>5.0000000000000044E-2</v>
      </c>
      <c r="AW37" s="41">
        <v>21.052631578947398</v>
      </c>
      <c r="AX37" s="25">
        <v>45.777777777777771</v>
      </c>
      <c r="AY37" s="30">
        <v>48.066666666666663</v>
      </c>
      <c r="BA37" s="41">
        <v>252.63157894736841</v>
      </c>
      <c r="BB37" s="25">
        <v>266.65555555555562</v>
      </c>
      <c r="BC37" s="30">
        <v>283.26888333333341</v>
      </c>
      <c r="BE37" s="42">
        <v>147.36842105263159</v>
      </c>
      <c r="BF37" s="25">
        <v>145.34444444444438</v>
      </c>
      <c r="BG37" s="30">
        <v>149.33111666666662</v>
      </c>
      <c r="BI37" s="43">
        <v>421.0526315789474</v>
      </c>
      <c r="BJ37" s="44">
        <v>457.77777777777777</v>
      </c>
      <c r="BK37" s="45">
        <v>480.66666666666669</v>
      </c>
      <c r="BM37" s="450">
        <v>10</v>
      </c>
      <c r="BN37" s="25">
        <v>10.555555555555555</v>
      </c>
      <c r="BO37" s="30">
        <v>10.555555555555555</v>
      </c>
      <c r="BP37" s="26">
        <v>5.555555555555558E-2</v>
      </c>
      <c r="BQ37" s="28">
        <v>0</v>
      </c>
      <c r="BR37" s="391">
        <v>2.205071664829107E-3</v>
      </c>
      <c r="BS37" s="392">
        <v>2.1897527112034786E-3</v>
      </c>
      <c r="BT37" s="393">
        <v>2.2170954692264629E-3</v>
      </c>
      <c r="BV37" s="450">
        <v>4</v>
      </c>
      <c r="BW37" s="470">
        <v>4</v>
      </c>
      <c r="BX37" s="46">
        <v>0</v>
      </c>
      <c r="BY37" s="450">
        <v>4</v>
      </c>
      <c r="BZ37" s="243">
        <v>3157.0663001309117</v>
      </c>
      <c r="CA37" s="46">
        <v>788.26657503272793</v>
      </c>
      <c r="CB37" s="109">
        <v>5</v>
      </c>
      <c r="CC37" s="243">
        <v>4.5238095238095255</v>
      </c>
      <c r="CD37" s="46">
        <v>-9.52380952380949E-2</v>
      </c>
      <c r="CF37" s="474">
        <v>3163.6218556864674</v>
      </c>
      <c r="CG37" s="474">
        <v>45981.486104705182</v>
      </c>
      <c r="CH37" s="228">
        <v>3.3323281744019979E-3</v>
      </c>
      <c r="CI37" s="49">
        <v>10.079365079365081</v>
      </c>
      <c r="CJ37" s="49">
        <v>1505.1628425925924</v>
      </c>
      <c r="CK37" s="249">
        <v>0.7</v>
      </c>
      <c r="CM37" s="214">
        <v>2.5</v>
      </c>
      <c r="CN37" s="51">
        <v>6.6784778004298165E-3</v>
      </c>
      <c r="CO37" s="226">
        <v>2.2166666666666663</v>
      </c>
    </row>
    <row r="38" spans="2:93" ht="13.5" customHeight="1" outlineLevel="1" x14ac:dyDescent="0.25">
      <c r="B38" s="53"/>
      <c r="C38" s="53"/>
      <c r="D38" s="53"/>
      <c r="E38" s="24" t="s">
        <v>26</v>
      </c>
      <c r="F38" s="451">
        <v>400</v>
      </c>
      <c r="G38" s="54">
        <v>412</v>
      </c>
      <c r="H38" s="55">
        <v>432.6</v>
      </c>
      <c r="I38" s="110"/>
      <c r="J38" s="111"/>
      <c r="K38" s="448">
        <v>0.03</v>
      </c>
      <c r="L38" s="448">
        <v>0.05</v>
      </c>
      <c r="M38" s="394">
        <v>2.7045300878972278E-3</v>
      </c>
      <c r="N38" s="395">
        <v>2.6619286060410273E-3</v>
      </c>
      <c r="O38" s="396">
        <v>2.690410607904683E-3</v>
      </c>
      <c r="Q38" s="458">
        <v>0.65</v>
      </c>
      <c r="R38" s="343">
        <v>0.68250000000000011</v>
      </c>
      <c r="S38" s="343">
        <v>0.68932500000000008</v>
      </c>
      <c r="T38" s="60">
        <v>0.05</v>
      </c>
      <c r="U38" s="37">
        <v>0.01</v>
      </c>
      <c r="W38" s="464">
        <v>0.05</v>
      </c>
      <c r="X38" s="483">
        <v>0.1</v>
      </c>
      <c r="Y38" s="374">
        <v>0.1</v>
      </c>
      <c r="AA38" s="401">
        <v>0.63157894736842102</v>
      </c>
      <c r="AB38" s="395">
        <v>0.64722222222222237</v>
      </c>
      <c r="AC38" s="396">
        <v>0.65480555555555564</v>
      </c>
      <c r="AD38" s="15"/>
      <c r="AE38" s="63">
        <v>42.10526315789474</v>
      </c>
      <c r="AF38" s="62">
        <v>43.368421052631582</v>
      </c>
      <c r="AG38" s="62">
        <v>45.536842105263162</v>
      </c>
      <c r="AH38" s="60">
        <v>0.03</v>
      </c>
      <c r="AI38" s="37">
        <v>0.05</v>
      </c>
      <c r="AJ38" s="15"/>
      <c r="AK38" s="63">
        <v>50.526315789473685</v>
      </c>
      <c r="AL38" s="62">
        <v>52.0421052631579</v>
      </c>
      <c r="AM38" s="62">
        <v>54.644210526315796</v>
      </c>
      <c r="AN38" s="434">
        <v>3.0000000000000027E-2</v>
      </c>
      <c r="AO38" s="435">
        <v>5.0000000000000044E-2</v>
      </c>
      <c r="AQ38" s="63">
        <v>40</v>
      </c>
      <c r="AR38" s="64">
        <v>39.031578947368423</v>
      </c>
      <c r="AS38" s="65">
        <v>40.983157894736848</v>
      </c>
      <c r="AT38" s="56">
        <v>-2.421052631578946E-2</v>
      </c>
      <c r="AU38" s="27">
        <v>5.0000000000000044E-2</v>
      </c>
      <c r="AW38" s="66">
        <v>21.052631578947398</v>
      </c>
      <c r="AX38" s="54">
        <v>45.777777777777771</v>
      </c>
      <c r="AY38" s="55">
        <v>48.066666666666663</v>
      </c>
      <c r="BA38" s="66">
        <v>252.63157894736841</v>
      </c>
      <c r="BB38" s="54">
        <v>266.65555555555562</v>
      </c>
      <c r="BC38" s="55">
        <v>283.26888333333341</v>
      </c>
      <c r="BE38" s="67">
        <v>147.36842105263159</v>
      </c>
      <c r="BF38" s="54">
        <v>145.34444444444438</v>
      </c>
      <c r="BG38" s="55">
        <v>149.33111666666662</v>
      </c>
      <c r="BI38" s="68">
        <v>421.0526315789474</v>
      </c>
      <c r="BJ38" s="62">
        <v>457.77777777777777</v>
      </c>
      <c r="BK38" s="69">
        <v>480.66666666666669</v>
      </c>
      <c r="BM38" s="451">
        <v>10</v>
      </c>
      <c r="BN38" s="54">
        <v>10.555555555555555</v>
      </c>
      <c r="BO38" s="55">
        <v>10.555555555555555</v>
      </c>
      <c r="BP38" s="56">
        <v>5.555555555555558E-2</v>
      </c>
      <c r="BQ38" s="27">
        <v>0</v>
      </c>
      <c r="BR38" s="394">
        <v>2.205071664829107E-3</v>
      </c>
      <c r="BS38" s="395">
        <v>2.1897527112034786E-3</v>
      </c>
      <c r="BT38" s="396">
        <v>2.2170954692264629E-3</v>
      </c>
      <c r="BV38" s="451">
        <v>4</v>
      </c>
      <c r="BW38" s="469">
        <v>4</v>
      </c>
      <c r="BX38" s="70">
        <v>0</v>
      </c>
      <c r="BY38" s="451">
        <v>4</v>
      </c>
      <c r="BZ38" s="71">
        <v>3157.0663001309117</v>
      </c>
      <c r="CA38" s="70">
        <v>788.26657503272793</v>
      </c>
      <c r="CB38" s="113">
        <v>5</v>
      </c>
      <c r="CC38" s="71">
        <v>4.5238095238095255</v>
      </c>
      <c r="CD38" s="70">
        <v>-9.52380952380949E-2</v>
      </c>
      <c r="CF38" s="475">
        <v>3163.6218556864674</v>
      </c>
      <c r="CG38" s="475">
        <v>45981.486104705182</v>
      </c>
      <c r="CH38" s="229">
        <v>3.3323281744019979E-3</v>
      </c>
      <c r="CI38" s="72">
        <v>10.079365079365081</v>
      </c>
      <c r="CJ38" s="72">
        <v>1505.1628425925924</v>
      </c>
      <c r="CK38" s="250">
        <v>0.7</v>
      </c>
      <c r="CM38" s="215">
        <v>2.5</v>
      </c>
      <c r="CN38" s="216">
        <v>6.6784778004298165E-3</v>
      </c>
      <c r="CO38" s="217">
        <v>2.2166666666666663</v>
      </c>
    </row>
    <row r="39" spans="2:93" ht="13.5" customHeight="1" outlineLevel="1" x14ac:dyDescent="0.25">
      <c r="B39" s="53"/>
      <c r="C39" s="53"/>
      <c r="D39" s="53"/>
      <c r="E39" s="24" t="s">
        <v>27</v>
      </c>
      <c r="F39" s="451">
        <v>400</v>
      </c>
      <c r="G39" s="54">
        <v>412</v>
      </c>
      <c r="H39" s="55">
        <v>432.6</v>
      </c>
      <c r="I39" s="110"/>
      <c r="J39" s="111"/>
      <c r="K39" s="448">
        <v>0.03</v>
      </c>
      <c r="L39" s="448">
        <v>0.05</v>
      </c>
      <c r="M39" s="394">
        <v>2.7045300878972278E-3</v>
      </c>
      <c r="N39" s="395">
        <v>2.6619286060410273E-3</v>
      </c>
      <c r="O39" s="396">
        <v>2.690410607904683E-3</v>
      </c>
      <c r="Q39" s="458">
        <v>0.65</v>
      </c>
      <c r="R39" s="343">
        <v>0.68250000000000011</v>
      </c>
      <c r="S39" s="343">
        <v>0.68932500000000008</v>
      </c>
      <c r="T39" s="60">
        <v>0.05</v>
      </c>
      <c r="U39" s="37">
        <v>0.01</v>
      </c>
      <c r="W39" s="464">
        <v>0.05</v>
      </c>
      <c r="X39" s="483">
        <v>0.1</v>
      </c>
      <c r="Y39" s="374">
        <v>0.1</v>
      </c>
      <c r="AA39" s="401">
        <v>0.63157894736842102</v>
      </c>
      <c r="AB39" s="395">
        <v>0.64722222222222237</v>
      </c>
      <c r="AC39" s="396">
        <v>0.65480555555555564</v>
      </c>
      <c r="AD39" s="15"/>
      <c r="AE39" s="63">
        <v>42.10526315789474</v>
      </c>
      <c r="AF39" s="62">
        <v>43.368421052631582</v>
      </c>
      <c r="AG39" s="62">
        <v>45.536842105263162</v>
      </c>
      <c r="AH39" s="60">
        <v>0.03</v>
      </c>
      <c r="AI39" s="37">
        <v>0.05</v>
      </c>
      <c r="AJ39" s="15"/>
      <c r="AK39" s="63">
        <v>50.526315789473685</v>
      </c>
      <c r="AL39" s="62">
        <v>52.0421052631579</v>
      </c>
      <c r="AM39" s="62">
        <v>54.644210526315796</v>
      </c>
      <c r="AN39" s="434">
        <v>3.0000000000000027E-2</v>
      </c>
      <c r="AO39" s="435">
        <v>5.0000000000000044E-2</v>
      </c>
      <c r="AQ39" s="63">
        <v>40</v>
      </c>
      <c r="AR39" s="64">
        <v>39.031578947368423</v>
      </c>
      <c r="AS39" s="65">
        <v>40.983157894736848</v>
      </c>
      <c r="AT39" s="56">
        <v>-2.421052631578946E-2</v>
      </c>
      <c r="AU39" s="27">
        <v>5.0000000000000044E-2</v>
      </c>
      <c r="AW39" s="66">
        <v>21.052631578947398</v>
      </c>
      <c r="AX39" s="54">
        <v>45.777777777777771</v>
      </c>
      <c r="AY39" s="55">
        <v>48.066666666666663</v>
      </c>
      <c r="BA39" s="66">
        <v>252.63157894736841</v>
      </c>
      <c r="BB39" s="54">
        <v>266.65555555555562</v>
      </c>
      <c r="BC39" s="55">
        <v>283.26888333333341</v>
      </c>
      <c r="BE39" s="67">
        <v>147.36842105263159</v>
      </c>
      <c r="BF39" s="54">
        <v>145.34444444444438</v>
      </c>
      <c r="BG39" s="55">
        <v>149.33111666666662</v>
      </c>
      <c r="BI39" s="68">
        <v>421.0526315789474</v>
      </c>
      <c r="BJ39" s="62">
        <v>457.77777777777777</v>
      </c>
      <c r="BK39" s="69">
        <v>480.66666666666669</v>
      </c>
      <c r="BM39" s="451">
        <v>10</v>
      </c>
      <c r="BN39" s="54">
        <v>10.555555555555555</v>
      </c>
      <c r="BO39" s="55">
        <v>10.555555555555555</v>
      </c>
      <c r="BP39" s="56">
        <v>5.555555555555558E-2</v>
      </c>
      <c r="BQ39" s="27">
        <v>0</v>
      </c>
      <c r="BR39" s="394">
        <v>2.205071664829107E-3</v>
      </c>
      <c r="BS39" s="395">
        <v>2.1897527112034786E-3</v>
      </c>
      <c r="BT39" s="396">
        <v>2.2170954692264629E-3</v>
      </c>
      <c r="BV39" s="451">
        <v>4</v>
      </c>
      <c r="BW39" s="469">
        <v>4</v>
      </c>
      <c r="BX39" s="70">
        <v>0</v>
      </c>
      <c r="BY39" s="451">
        <v>4</v>
      </c>
      <c r="BZ39" s="71">
        <v>3157.0663001309117</v>
      </c>
      <c r="CA39" s="70">
        <v>788.26657503272793</v>
      </c>
      <c r="CB39" s="113">
        <v>5</v>
      </c>
      <c r="CC39" s="71">
        <v>4.5238095238095255</v>
      </c>
      <c r="CD39" s="70">
        <v>-9.52380952380949E-2</v>
      </c>
      <c r="CF39" s="475">
        <v>3163.6218556864674</v>
      </c>
      <c r="CG39" s="475">
        <v>45981.486104705182</v>
      </c>
      <c r="CH39" s="229">
        <v>3.3323281744019979E-3</v>
      </c>
      <c r="CI39" s="72">
        <v>10.079365079365081</v>
      </c>
      <c r="CJ39" s="72">
        <v>1505.1628425925924</v>
      </c>
      <c r="CK39" s="250">
        <v>0.7</v>
      </c>
      <c r="CM39" s="215">
        <v>2.5</v>
      </c>
      <c r="CN39" s="216">
        <v>6.6784778004298165E-3</v>
      </c>
      <c r="CO39" s="217">
        <v>2.2166666666666663</v>
      </c>
    </row>
    <row r="40" spans="2:93" ht="13.5" customHeight="1" outlineLevel="1" x14ac:dyDescent="0.25">
      <c r="B40" s="53"/>
      <c r="C40" s="53"/>
      <c r="D40" s="53"/>
      <c r="E40" s="24" t="s">
        <v>28</v>
      </c>
      <c r="F40" s="451">
        <v>400</v>
      </c>
      <c r="G40" s="54">
        <v>412</v>
      </c>
      <c r="H40" s="55">
        <v>432.6</v>
      </c>
      <c r="I40" s="110"/>
      <c r="J40" s="111"/>
      <c r="K40" s="448">
        <v>0.03</v>
      </c>
      <c r="L40" s="448">
        <v>0.05</v>
      </c>
      <c r="M40" s="394">
        <v>2.7045300878972278E-3</v>
      </c>
      <c r="N40" s="395">
        <v>2.6619286060410273E-3</v>
      </c>
      <c r="O40" s="396">
        <v>2.690410607904683E-3</v>
      </c>
      <c r="Q40" s="458">
        <v>0.65</v>
      </c>
      <c r="R40" s="343">
        <v>0.68250000000000011</v>
      </c>
      <c r="S40" s="343">
        <v>0.68932500000000008</v>
      </c>
      <c r="T40" s="60">
        <v>0.05</v>
      </c>
      <c r="U40" s="37">
        <v>0.01</v>
      </c>
      <c r="W40" s="464">
        <v>0.05</v>
      </c>
      <c r="X40" s="483">
        <v>0.1</v>
      </c>
      <c r="Y40" s="374">
        <v>0.1</v>
      </c>
      <c r="AA40" s="401">
        <v>0.63157894736842102</v>
      </c>
      <c r="AB40" s="395">
        <v>0.64722222222222237</v>
      </c>
      <c r="AC40" s="396">
        <v>0.65480555555555564</v>
      </c>
      <c r="AD40" s="15"/>
      <c r="AE40" s="63">
        <v>42.10526315789474</v>
      </c>
      <c r="AF40" s="62">
        <v>43.368421052631582</v>
      </c>
      <c r="AG40" s="62">
        <v>45.536842105263162</v>
      </c>
      <c r="AH40" s="60">
        <v>0.03</v>
      </c>
      <c r="AI40" s="37">
        <v>0.05</v>
      </c>
      <c r="AJ40" s="15"/>
      <c r="AK40" s="63">
        <v>50.526315789473685</v>
      </c>
      <c r="AL40" s="62">
        <v>52.0421052631579</v>
      </c>
      <c r="AM40" s="62">
        <v>54.644210526315796</v>
      </c>
      <c r="AN40" s="434">
        <v>3.0000000000000027E-2</v>
      </c>
      <c r="AO40" s="435">
        <v>5.0000000000000044E-2</v>
      </c>
      <c r="AQ40" s="63">
        <v>40</v>
      </c>
      <c r="AR40" s="64">
        <v>39.031578947368423</v>
      </c>
      <c r="AS40" s="65">
        <v>40.983157894736848</v>
      </c>
      <c r="AT40" s="56">
        <v>-2.421052631578946E-2</v>
      </c>
      <c r="AU40" s="27">
        <v>5.0000000000000044E-2</v>
      </c>
      <c r="AW40" s="66">
        <v>21.052631578947398</v>
      </c>
      <c r="AX40" s="54">
        <v>45.777777777777771</v>
      </c>
      <c r="AY40" s="55">
        <v>48.066666666666663</v>
      </c>
      <c r="BA40" s="66">
        <v>252.63157894736841</v>
      </c>
      <c r="BB40" s="54">
        <v>266.65555555555562</v>
      </c>
      <c r="BC40" s="55">
        <v>283.26888333333341</v>
      </c>
      <c r="BE40" s="67">
        <v>147.36842105263159</v>
      </c>
      <c r="BF40" s="54">
        <v>145.34444444444438</v>
      </c>
      <c r="BG40" s="55">
        <v>149.33111666666662</v>
      </c>
      <c r="BI40" s="68">
        <v>421.0526315789474</v>
      </c>
      <c r="BJ40" s="62">
        <v>457.77777777777777</v>
      </c>
      <c r="BK40" s="69">
        <v>480.66666666666669</v>
      </c>
      <c r="BM40" s="451">
        <v>10</v>
      </c>
      <c r="BN40" s="54">
        <v>10.555555555555555</v>
      </c>
      <c r="BO40" s="55">
        <v>10.555555555555555</v>
      </c>
      <c r="BP40" s="56">
        <v>5.555555555555558E-2</v>
      </c>
      <c r="BQ40" s="27">
        <v>0</v>
      </c>
      <c r="BR40" s="394">
        <v>2.205071664829107E-3</v>
      </c>
      <c r="BS40" s="395">
        <v>2.1897527112034786E-3</v>
      </c>
      <c r="BT40" s="396">
        <v>2.2170954692264629E-3</v>
      </c>
      <c r="BV40" s="451">
        <v>4</v>
      </c>
      <c r="BW40" s="469">
        <v>4</v>
      </c>
      <c r="BX40" s="70">
        <v>0</v>
      </c>
      <c r="BY40" s="451">
        <v>4</v>
      </c>
      <c r="BZ40" s="71">
        <v>3157.0663001309117</v>
      </c>
      <c r="CA40" s="70">
        <v>788.26657503272793</v>
      </c>
      <c r="CB40" s="113">
        <v>5</v>
      </c>
      <c r="CC40" s="71">
        <v>4.5238095238095255</v>
      </c>
      <c r="CD40" s="70">
        <v>-9.52380952380949E-2</v>
      </c>
      <c r="CF40" s="475">
        <v>3163.6218556864674</v>
      </c>
      <c r="CG40" s="475">
        <v>45981.486104705182</v>
      </c>
      <c r="CH40" s="229">
        <v>3.3323281744019979E-3</v>
      </c>
      <c r="CI40" s="72">
        <v>10.079365079365081</v>
      </c>
      <c r="CJ40" s="72">
        <v>1505.1628425925924</v>
      </c>
      <c r="CK40" s="250">
        <v>0.7</v>
      </c>
      <c r="CM40" s="215">
        <v>2.5</v>
      </c>
      <c r="CN40" s="216">
        <v>6.6784778004298165E-3</v>
      </c>
      <c r="CO40" s="217">
        <v>2.2166666666666663</v>
      </c>
    </row>
    <row r="41" spans="2:93" ht="13.5" customHeight="1" outlineLevel="1" x14ac:dyDescent="0.25">
      <c r="B41" s="53"/>
      <c r="C41" s="53"/>
      <c r="D41" s="53"/>
      <c r="E41" s="24" t="s">
        <v>29</v>
      </c>
      <c r="F41" s="451">
        <v>400</v>
      </c>
      <c r="G41" s="54">
        <v>412</v>
      </c>
      <c r="H41" s="55">
        <v>432.6</v>
      </c>
      <c r="I41" s="110"/>
      <c r="J41" s="111"/>
      <c r="K41" s="448">
        <v>0.03</v>
      </c>
      <c r="L41" s="448">
        <v>0.05</v>
      </c>
      <c r="M41" s="394">
        <v>2.7045300878972278E-3</v>
      </c>
      <c r="N41" s="395">
        <v>2.6619286060410273E-3</v>
      </c>
      <c r="O41" s="396">
        <v>2.690410607904683E-3</v>
      </c>
      <c r="Q41" s="458">
        <v>0.65</v>
      </c>
      <c r="R41" s="343">
        <v>0.68250000000000011</v>
      </c>
      <c r="S41" s="343">
        <v>0.68932500000000008</v>
      </c>
      <c r="T41" s="60">
        <v>0.05</v>
      </c>
      <c r="U41" s="37">
        <v>0.01</v>
      </c>
      <c r="W41" s="464">
        <v>0.05</v>
      </c>
      <c r="X41" s="483">
        <v>0.1</v>
      </c>
      <c r="Y41" s="374">
        <v>0.1</v>
      </c>
      <c r="AA41" s="401">
        <v>0.63157894736842102</v>
      </c>
      <c r="AB41" s="395">
        <v>0.64722222222222237</v>
      </c>
      <c r="AC41" s="396">
        <v>0.65480555555555564</v>
      </c>
      <c r="AD41" s="15"/>
      <c r="AE41" s="63">
        <v>42.10526315789474</v>
      </c>
      <c r="AF41" s="62">
        <v>43.368421052631582</v>
      </c>
      <c r="AG41" s="62">
        <v>45.536842105263162</v>
      </c>
      <c r="AH41" s="60">
        <v>0.03</v>
      </c>
      <c r="AI41" s="37">
        <v>0.05</v>
      </c>
      <c r="AJ41" s="15"/>
      <c r="AK41" s="63">
        <v>50.526315789473685</v>
      </c>
      <c r="AL41" s="62">
        <v>52.0421052631579</v>
      </c>
      <c r="AM41" s="62">
        <v>54.644210526315796</v>
      </c>
      <c r="AN41" s="434">
        <v>3.0000000000000027E-2</v>
      </c>
      <c r="AO41" s="435">
        <v>5.0000000000000044E-2</v>
      </c>
      <c r="AQ41" s="63">
        <v>40</v>
      </c>
      <c r="AR41" s="64">
        <v>39.031578947368423</v>
      </c>
      <c r="AS41" s="65">
        <v>40.983157894736848</v>
      </c>
      <c r="AT41" s="56">
        <v>-2.421052631578946E-2</v>
      </c>
      <c r="AU41" s="27">
        <v>5.0000000000000044E-2</v>
      </c>
      <c r="AW41" s="66">
        <v>21.052631578947398</v>
      </c>
      <c r="AX41" s="54">
        <v>45.777777777777771</v>
      </c>
      <c r="AY41" s="55">
        <v>48.066666666666663</v>
      </c>
      <c r="BA41" s="66">
        <v>252.63157894736841</v>
      </c>
      <c r="BB41" s="54">
        <v>266.65555555555562</v>
      </c>
      <c r="BC41" s="55">
        <v>283.26888333333341</v>
      </c>
      <c r="BE41" s="67">
        <v>147.36842105263159</v>
      </c>
      <c r="BF41" s="54">
        <v>145.34444444444438</v>
      </c>
      <c r="BG41" s="55">
        <v>149.33111666666662</v>
      </c>
      <c r="BI41" s="68">
        <v>421.0526315789474</v>
      </c>
      <c r="BJ41" s="62">
        <v>457.77777777777777</v>
      </c>
      <c r="BK41" s="69">
        <v>480.66666666666669</v>
      </c>
      <c r="BM41" s="451">
        <v>10</v>
      </c>
      <c r="BN41" s="54">
        <v>10.555555555555555</v>
      </c>
      <c r="BO41" s="55">
        <v>10.555555555555555</v>
      </c>
      <c r="BP41" s="56">
        <v>5.555555555555558E-2</v>
      </c>
      <c r="BQ41" s="27">
        <v>0</v>
      </c>
      <c r="BR41" s="394">
        <v>2.205071664829107E-3</v>
      </c>
      <c r="BS41" s="395">
        <v>2.1897527112034786E-3</v>
      </c>
      <c r="BT41" s="396">
        <v>2.2170954692264629E-3</v>
      </c>
      <c r="BV41" s="451">
        <v>4</v>
      </c>
      <c r="BW41" s="469">
        <v>4</v>
      </c>
      <c r="BX41" s="70">
        <v>0</v>
      </c>
      <c r="BY41" s="451">
        <v>4</v>
      </c>
      <c r="BZ41" s="71">
        <v>3157.0663001309117</v>
      </c>
      <c r="CA41" s="70">
        <v>788.26657503272793</v>
      </c>
      <c r="CB41" s="113">
        <v>5</v>
      </c>
      <c r="CC41" s="71">
        <v>4.5238095238095255</v>
      </c>
      <c r="CD41" s="70">
        <v>-9.52380952380949E-2</v>
      </c>
      <c r="CF41" s="475">
        <v>3163.6218556864674</v>
      </c>
      <c r="CG41" s="475">
        <v>45981.486104705182</v>
      </c>
      <c r="CH41" s="229">
        <v>3.3323281744019979E-3</v>
      </c>
      <c r="CI41" s="72">
        <v>10.079365079365081</v>
      </c>
      <c r="CJ41" s="72">
        <v>1505.1628425925924</v>
      </c>
      <c r="CK41" s="250">
        <v>0.7</v>
      </c>
      <c r="CM41" s="215">
        <v>2.5</v>
      </c>
      <c r="CN41" s="216">
        <v>6.6784778004298165E-3</v>
      </c>
      <c r="CO41" s="217">
        <v>2.2166666666666663</v>
      </c>
    </row>
    <row r="42" spans="2:93" ht="13.5" customHeight="1" outlineLevel="1" x14ac:dyDescent="0.25">
      <c r="B42" s="53"/>
      <c r="C42" s="53"/>
      <c r="D42" s="53"/>
      <c r="E42" s="24" t="s">
        <v>32</v>
      </c>
      <c r="F42" s="451">
        <v>400</v>
      </c>
      <c r="G42" s="54">
        <v>412</v>
      </c>
      <c r="H42" s="55">
        <v>432.6</v>
      </c>
      <c r="I42" s="110"/>
      <c r="J42" s="111"/>
      <c r="K42" s="448">
        <v>0.03</v>
      </c>
      <c r="L42" s="448">
        <v>0.05</v>
      </c>
      <c r="M42" s="394">
        <v>2.7045300878972278E-3</v>
      </c>
      <c r="N42" s="395">
        <v>2.6619286060410273E-3</v>
      </c>
      <c r="O42" s="396">
        <v>2.690410607904683E-3</v>
      </c>
      <c r="Q42" s="458">
        <v>0.65</v>
      </c>
      <c r="R42" s="343">
        <v>0.68250000000000011</v>
      </c>
      <c r="S42" s="343">
        <v>0.68932500000000008</v>
      </c>
      <c r="T42" s="60">
        <v>0.05</v>
      </c>
      <c r="U42" s="37">
        <v>0.01</v>
      </c>
      <c r="W42" s="464">
        <v>0.05</v>
      </c>
      <c r="X42" s="483">
        <v>0.1</v>
      </c>
      <c r="Y42" s="374">
        <v>0.1</v>
      </c>
      <c r="AA42" s="401">
        <v>0.63157894736842102</v>
      </c>
      <c r="AB42" s="395">
        <v>0.64722222222222237</v>
      </c>
      <c r="AC42" s="396">
        <v>0.65480555555555564</v>
      </c>
      <c r="AD42" s="15"/>
      <c r="AE42" s="63">
        <v>42.10526315789474</v>
      </c>
      <c r="AF42" s="62">
        <v>43.368421052631582</v>
      </c>
      <c r="AG42" s="62">
        <v>45.536842105263162</v>
      </c>
      <c r="AH42" s="60">
        <v>0.03</v>
      </c>
      <c r="AI42" s="37">
        <v>0.05</v>
      </c>
      <c r="AJ42" s="15"/>
      <c r="AK42" s="63">
        <v>50.526315789473685</v>
      </c>
      <c r="AL42" s="62">
        <v>52.0421052631579</v>
      </c>
      <c r="AM42" s="62">
        <v>54.644210526315796</v>
      </c>
      <c r="AN42" s="434">
        <v>3.0000000000000027E-2</v>
      </c>
      <c r="AO42" s="435">
        <v>5.0000000000000044E-2</v>
      </c>
      <c r="AQ42" s="63">
        <v>40</v>
      </c>
      <c r="AR42" s="64">
        <v>39.031578947368423</v>
      </c>
      <c r="AS42" s="65">
        <v>40.983157894736848</v>
      </c>
      <c r="AT42" s="56">
        <v>-2.421052631578946E-2</v>
      </c>
      <c r="AU42" s="27">
        <v>5.0000000000000044E-2</v>
      </c>
      <c r="AW42" s="66">
        <v>21.052631578947398</v>
      </c>
      <c r="AX42" s="54">
        <v>45.777777777777771</v>
      </c>
      <c r="AY42" s="55">
        <v>48.066666666666663</v>
      </c>
      <c r="BA42" s="66">
        <v>252.63157894736841</v>
      </c>
      <c r="BB42" s="54">
        <v>266.65555555555562</v>
      </c>
      <c r="BC42" s="55">
        <v>283.26888333333341</v>
      </c>
      <c r="BE42" s="67">
        <v>147.36842105263159</v>
      </c>
      <c r="BF42" s="54">
        <v>145.34444444444438</v>
      </c>
      <c r="BG42" s="55">
        <v>149.33111666666662</v>
      </c>
      <c r="BI42" s="68">
        <v>421.0526315789474</v>
      </c>
      <c r="BJ42" s="62">
        <v>457.77777777777777</v>
      </c>
      <c r="BK42" s="69">
        <v>480.66666666666669</v>
      </c>
      <c r="BM42" s="451">
        <v>10</v>
      </c>
      <c r="BN42" s="54">
        <v>10.555555555555555</v>
      </c>
      <c r="BO42" s="55">
        <v>10.555555555555555</v>
      </c>
      <c r="BP42" s="56">
        <v>5.555555555555558E-2</v>
      </c>
      <c r="BQ42" s="27">
        <v>0</v>
      </c>
      <c r="BR42" s="394">
        <v>2.205071664829107E-3</v>
      </c>
      <c r="BS42" s="395">
        <v>2.1897527112034786E-3</v>
      </c>
      <c r="BT42" s="396">
        <v>2.2170954692264629E-3</v>
      </c>
      <c r="BV42" s="451">
        <v>4</v>
      </c>
      <c r="BW42" s="469">
        <v>4</v>
      </c>
      <c r="BX42" s="70">
        <v>0</v>
      </c>
      <c r="BY42" s="451">
        <v>4</v>
      </c>
      <c r="BZ42" s="71">
        <v>3157.0663001309117</v>
      </c>
      <c r="CA42" s="70">
        <v>788.26657503272793</v>
      </c>
      <c r="CB42" s="113">
        <v>5</v>
      </c>
      <c r="CC42" s="71">
        <v>4.5238095238095255</v>
      </c>
      <c r="CD42" s="70">
        <v>-9.52380952380949E-2</v>
      </c>
      <c r="CF42" s="475">
        <v>3163.6218556864674</v>
      </c>
      <c r="CG42" s="475">
        <v>45981.486104705182</v>
      </c>
      <c r="CH42" s="229">
        <v>3.3323281744019979E-3</v>
      </c>
      <c r="CI42" s="72">
        <v>10.079365079365081</v>
      </c>
      <c r="CJ42" s="72">
        <v>1505.1628425925924</v>
      </c>
      <c r="CK42" s="250">
        <v>0.7</v>
      </c>
      <c r="CM42" s="215">
        <v>2.5</v>
      </c>
      <c r="CN42" s="216">
        <v>6.6784778004298165E-3</v>
      </c>
      <c r="CO42" s="217">
        <v>2.2166666666666663</v>
      </c>
    </row>
    <row r="43" spans="2:93" ht="13.5" customHeight="1" x14ac:dyDescent="0.25">
      <c r="B43" s="540" t="s">
        <v>42</v>
      </c>
      <c r="C43" s="540"/>
      <c r="D43" s="540"/>
      <c r="E43" s="540"/>
      <c r="F43" s="88">
        <v>2400</v>
      </c>
      <c r="G43" s="89">
        <v>2472</v>
      </c>
      <c r="H43" s="90">
        <v>2595.6</v>
      </c>
      <c r="I43" s="90"/>
      <c r="J43" s="92"/>
      <c r="K43" s="94">
        <v>3.0000000000000027E-2</v>
      </c>
      <c r="L43" s="94">
        <v>5.0000000000000044E-2</v>
      </c>
      <c r="M43" s="366">
        <v>1.6227180527383367E-2</v>
      </c>
      <c r="N43" s="367">
        <v>1.5971571636246164E-2</v>
      </c>
      <c r="O43" s="94">
        <v>1.6142463647428097E-2</v>
      </c>
      <c r="Q43" s="345">
        <v>0.68157894736842117</v>
      </c>
      <c r="R43" s="346">
        <v>0.74722222222222234</v>
      </c>
      <c r="S43" s="349">
        <v>0.75480555555555573</v>
      </c>
      <c r="T43" s="126">
        <v>9.6310596310596353E-2</v>
      </c>
      <c r="U43" s="98">
        <v>1.0148698884758334E-2</v>
      </c>
      <c r="V43" s="13"/>
      <c r="W43" s="375">
        <v>5.0000000000000155E-2</v>
      </c>
      <c r="X43" s="376">
        <v>9.999999999999995E-2</v>
      </c>
      <c r="Y43" s="377">
        <v>0.10000000000000003</v>
      </c>
      <c r="AA43" s="366">
        <v>0.63157894736842102</v>
      </c>
      <c r="AB43" s="367">
        <v>0.64722222222222237</v>
      </c>
      <c r="AC43" s="94">
        <v>0.65480555555555575</v>
      </c>
      <c r="AD43" s="15"/>
      <c r="AE43" s="95">
        <v>42.105263157894747</v>
      </c>
      <c r="AF43" s="96">
        <v>43.368421052631575</v>
      </c>
      <c r="AG43" s="99">
        <v>45.536842105263155</v>
      </c>
      <c r="AH43" s="126">
        <v>2.9999999999999583E-2</v>
      </c>
      <c r="AI43" s="98">
        <v>5.0000000000000044E-2</v>
      </c>
      <c r="AJ43" s="15"/>
      <c r="AK43" s="95">
        <v>50.526315789473692</v>
      </c>
      <c r="AL43" s="96">
        <v>52.042105263157886</v>
      </c>
      <c r="AM43" s="99">
        <v>54.644210526315781</v>
      </c>
      <c r="AN43" s="126">
        <v>2.9999999999999583E-2</v>
      </c>
      <c r="AO43" s="98">
        <v>5.0000000000000044E-2</v>
      </c>
      <c r="AQ43" s="95">
        <v>40</v>
      </c>
      <c r="AR43" s="96">
        <v>39.031578947368416</v>
      </c>
      <c r="AS43" s="99">
        <v>40.983157894736841</v>
      </c>
      <c r="AT43" s="91">
        <v>-2.4210526315789571E-2</v>
      </c>
      <c r="AU43" s="92">
        <v>5.0000000000000044E-2</v>
      </c>
      <c r="AW43" s="88">
        <v>126.31578947368439</v>
      </c>
      <c r="AX43" s="89">
        <v>274.66666666666663</v>
      </c>
      <c r="AY43" s="90">
        <v>288.39999999999998</v>
      </c>
      <c r="BA43" s="88">
        <v>1515.7894736842104</v>
      </c>
      <c r="BB43" s="89">
        <v>1599.9333333333336</v>
      </c>
      <c r="BC43" s="90">
        <v>1699.6133000000004</v>
      </c>
      <c r="BE43" s="88">
        <v>884.21052631578948</v>
      </c>
      <c r="BF43" s="89">
        <v>872.06666666666638</v>
      </c>
      <c r="BG43" s="90">
        <v>895.9866999999997</v>
      </c>
      <c r="BI43" s="100">
        <v>2526.3157894736846</v>
      </c>
      <c r="BJ43" s="101">
        <v>2746.6666666666665</v>
      </c>
      <c r="BK43" s="102">
        <v>2884</v>
      </c>
      <c r="BM43" s="88">
        <v>60</v>
      </c>
      <c r="BN43" s="89">
        <v>63.333333333333336</v>
      </c>
      <c r="BO43" s="90">
        <v>63.333333333333336</v>
      </c>
      <c r="BP43" s="91">
        <v>5.555555555555558E-2</v>
      </c>
      <c r="BQ43" s="92">
        <v>0</v>
      </c>
      <c r="BR43" s="366">
        <v>1.3230429988974642E-2</v>
      </c>
      <c r="BS43" s="367">
        <v>1.3138516267220873E-2</v>
      </c>
      <c r="BT43" s="94">
        <v>1.3302572815358777E-2</v>
      </c>
      <c r="BV43" s="88">
        <v>24</v>
      </c>
      <c r="BW43" s="282">
        <v>24</v>
      </c>
      <c r="BX43" s="103">
        <v>0</v>
      </c>
      <c r="BY43" s="88">
        <v>24</v>
      </c>
      <c r="BZ43" s="282">
        <v>18942.397800785471</v>
      </c>
      <c r="CA43" s="103">
        <v>788.26657503272793</v>
      </c>
      <c r="CB43" s="282">
        <v>30</v>
      </c>
      <c r="CC43" s="282">
        <v>27.142857142857153</v>
      </c>
      <c r="CD43" s="103">
        <v>-9.52380952380949E-2</v>
      </c>
      <c r="CF43" s="115">
        <v>18981.731134118803</v>
      </c>
      <c r="CG43" s="115">
        <v>275888.91662823112</v>
      </c>
      <c r="CH43" s="308">
        <v>3.3323281744019983E-3</v>
      </c>
      <c r="CI43" s="115">
        <v>60.476190476190489</v>
      </c>
      <c r="CJ43" s="115">
        <v>9030.9770555555533</v>
      </c>
      <c r="CK43" s="308">
        <v>0.7</v>
      </c>
      <c r="CM43" s="290">
        <v>2.5</v>
      </c>
      <c r="CN43" s="291">
        <v>6.6784778004298165E-3</v>
      </c>
      <c r="CO43" s="292">
        <v>2.2166666666666663</v>
      </c>
    </row>
    <row r="44" spans="2:93" ht="13.5" customHeight="1" x14ac:dyDescent="0.25">
      <c r="B44" s="541" t="s">
        <v>43</v>
      </c>
      <c r="C44" s="541"/>
      <c r="D44" s="541"/>
      <c r="E44" s="541"/>
      <c r="F44" s="4">
        <v>4000</v>
      </c>
      <c r="G44" s="5">
        <v>4152</v>
      </c>
      <c r="H44" s="6">
        <v>4326</v>
      </c>
      <c r="I44" s="6"/>
      <c r="J44" s="8"/>
      <c r="K44" s="9">
        <v>3.8000000000000034E-2</v>
      </c>
      <c r="L44" s="9">
        <v>4.1907514450867156E-2</v>
      </c>
      <c r="M44" s="402">
        <v>2.7045300878972278E-2</v>
      </c>
      <c r="N44" s="318">
        <v>2.6826037796801809E-2</v>
      </c>
      <c r="O44" s="9">
        <v>2.6904106079046829E-2</v>
      </c>
      <c r="Q44" s="347">
        <v>0.68157894736842117</v>
      </c>
      <c r="R44" s="348">
        <v>0.74722222222222234</v>
      </c>
      <c r="S44" s="350">
        <v>0.75480555555555584</v>
      </c>
      <c r="T44" s="7">
        <v>9.6310596310596353E-2</v>
      </c>
      <c r="U44" s="8">
        <v>1.0148698884758556E-2</v>
      </c>
      <c r="V44" s="13"/>
      <c r="W44" s="379">
        <v>5.0000000000000121E-2</v>
      </c>
      <c r="X44" s="380">
        <v>9.9999999999999936E-2</v>
      </c>
      <c r="Y44" s="381">
        <v>0.10000000000000006</v>
      </c>
      <c r="AA44" s="402">
        <v>0.63157894736842102</v>
      </c>
      <c r="AB44" s="318">
        <v>0.64722222222222237</v>
      </c>
      <c r="AC44" s="9">
        <v>0.65480555555555575</v>
      </c>
      <c r="AD44" s="15"/>
      <c r="AE44" s="10">
        <v>42.10526315789474</v>
      </c>
      <c r="AF44" s="11">
        <v>43.368421052631575</v>
      </c>
      <c r="AG44" s="12">
        <v>45.536842105263162</v>
      </c>
      <c r="AH44" s="7">
        <v>2.9999999999999805E-2</v>
      </c>
      <c r="AI44" s="8">
        <v>5.0000000000000266E-2</v>
      </c>
      <c r="AJ44" s="15"/>
      <c r="AK44" s="10">
        <v>50.526315789473685</v>
      </c>
      <c r="AL44" s="11">
        <v>52.042105263157886</v>
      </c>
      <c r="AM44" s="12">
        <v>54.644210526315796</v>
      </c>
      <c r="AN44" s="7">
        <v>2.9999999999999805E-2</v>
      </c>
      <c r="AO44" s="8">
        <v>5.0000000000000266E-2</v>
      </c>
      <c r="AQ44" s="10">
        <v>40</v>
      </c>
      <c r="AR44" s="11">
        <v>39.031578947368423</v>
      </c>
      <c r="AS44" s="12">
        <v>40.983157894736841</v>
      </c>
      <c r="AT44" s="7">
        <v>-2.421052631578946E-2</v>
      </c>
      <c r="AU44" s="8">
        <v>4.9999999999999822E-2</v>
      </c>
      <c r="AW44" s="4">
        <v>210.52631578947398</v>
      </c>
      <c r="AX44" s="5">
        <v>461.33333333333314</v>
      </c>
      <c r="AY44" s="6">
        <v>480.66666666666663</v>
      </c>
      <c r="BA44" s="4">
        <v>2526.3157894736842</v>
      </c>
      <c r="BB44" s="5">
        <v>2687.2666666666673</v>
      </c>
      <c r="BC44" s="6">
        <v>2832.6888333333341</v>
      </c>
      <c r="BE44" s="4">
        <v>1473.6842105263158</v>
      </c>
      <c r="BF44" s="5">
        <v>1464.7333333333329</v>
      </c>
      <c r="BG44" s="6">
        <v>1493.3111666666662</v>
      </c>
      <c r="BI44" s="116">
        <v>4210.5263157894742</v>
      </c>
      <c r="BJ44" s="16">
        <v>4613.333333333333</v>
      </c>
      <c r="BK44" s="17">
        <v>4806.666666666667</v>
      </c>
      <c r="BM44" s="4">
        <v>100</v>
      </c>
      <c r="BN44" s="5">
        <v>106.37540453074433</v>
      </c>
      <c r="BO44" s="6">
        <v>105.55555555555556</v>
      </c>
      <c r="BP44" s="7">
        <v>6.3754045307443441E-2</v>
      </c>
      <c r="BQ44" s="8">
        <v>-7.7071290944122905E-3</v>
      </c>
      <c r="BR44" s="402">
        <v>2.2050716648291068E-2</v>
      </c>
      <c r="BS44" s="318">
        <v>2.2067604992516612E-2</v>
      </c>
      <c r="BT44" s="9">
        <v>2.2170954692264627E-2</v>
      </c>
      <c r="BV44" s="4">
        <v>40</v>
      </c>
      <c r="BW44" s="284">
        <v>40</v>
      </c>
      <c r="BX44" s="127">
        <v>0</v>
      </c>
      <c r="BY44" s="4">
        <v>40</v>
      </c>
      <c r="BZ44" s="284">
        <v>31328.805296662576</v>
      </c>
      <c r="CA44" s="127">
        <v>782.22013241656441</v>
      </c>
      <c r="CB44" s="284">
        <v>50</v>
      </c>
      <c r="CC44" s="284">
        <v>45.238095238095255</v>
      </c>
      <c r="CD44" s="127">
        <v>-9.52380952380949E-2</v>
      </c>
      <c r="CF44" s="117">
        <v>31395.18070119332</v>
      </c>
      <c r="CG44" s="117">
        <v>459814.86104705185</v>
      </c>
      <c r="CH44" s="309">
        <v>3.3839603322753029E-3</v>
      </c>
      <c r="CI44" s="117">
        <v>100.79365079365081</v>
      </c>
      <c r="CJ44" s="117">
        <v>15051.628425925923</v>
      </c>
      <c r="CK44" s="309">
        <v>0.7</v>
      </c>
      <c r="CM44" s="293">
        <v>2.5</v>
      </c>
      <c r="CN44" s="294">
        <v>6.7822413716254566E-3</v>
      </c>
      <c r="CO44" s="295">
        <v>2.2166666666666663</v>
      </c>
    </row>
    <row r="45" spans="2:93" ht="13.5" customHeight="1" outlineLevel="1" x14ac:dyDescent="0.25">
      <c r="B45" s="23" t="s">
        <v>22</v>
      </c>
      <c r="C45" s="23" t="s">
        <v>44</v>
      </c>
      <c r="D45" s="23" t="s">
        <v>31</v>
      </c>
      <c r="E45" s="24" t="s">
        <v>26</v>
      </c>
      <c r="F45" s="450">
        <v>400</v>
      </c>
      <c r="G45" s="25">
        <v>420</v>
      </c>
      <c r="H45" s="30">
        <v>432.6</v>
      </c>
      <c r="I45" s="106"/>
      <c r="J45" s="107"/>
      <c r="K45" s="447">
        <v>0.05</v>
      </c>
      <c r="L45" s="447">
        <v>0.03</v>
      </c>
      <c r="M45" s="391">
        <v>2.7045300878972278E-3</v>
      </c>
      <c r="N45" s="392">
        <v>2.7136165401389113E-3</v>
      </c>
      <c r="O45" s="393">
        <v>2.690410607904683E-3</v>
      </c>
      <c r="Q45" s="457">
        <v>0.65</v>
      </c>
      <c r="R45" s="343">
        <v>0.68250000000000011</v>
      </c>
      <c r="S45" s="343">
        <v>0.68932500000000008</v>
      </c>
      <c r="T45" s="34">
        <v>0.05</v>
      </c>
      <c r="U45" s="35">
        <v>0.01</v>
      </c>
      <c r="V45" s="29"/>
      <c r="W45" s="463">
        <v>0.05</v>
      </c>
      <c r="X45" s="482">
        <v>0.1</v>
      </c>
      <c r="Y45" s="378">
        <v>0.1</v>
      </c>
      <c r="AA45" s="400">
        <v>0.63157894736842102</v>
      </c>
      <c r="AB45" s="392">
        <v>0.64722222222222237</v>
      </c>
      <c r="AC45" s="393">
        <v>0.65480555555555564</v>
      </c>
      <c r="AD45" s="15"/>
      <c r="AE45" s="38">
        <v>42.10526315789474</v>
      </c>
      <c r="AF45" s="62">
        <v>43.368421052631582</v>
      </c>
      <c r="AG45" s="62">
        <v>45.536842105263162</v>
      </c>
      <c r="AH45" s="34">
        <v>0.03</v>
      </c>
      <c r="AI45" s="35">
        <v>0.05</v>
      </c>
      <c r="AJ45" s="15"/>
      <c r="AK45" s="38">
        <v>50.526315789473685</v>
      </c>
      <c r="AL45" s="62">
        <v>52.0421052631579</v>
      </c>
      <c r="AM45" s="62">
        <v>54.644210526315796</v>
      </c>
      <c r="AN45" s="432">
        <v>3.0000000000000027E-2</v>
      </c>
      <c r="AO45" s="433">
        <v>5.0000000000000044E-2</v>
      </c>
      <c r="AQ45" s="38">
        <v>40</v>
      </c>
      <c r="AR45" s="64">
        <v>39.031578947368423</v>
      </c>
      <c r="AS45" s="65">
        <v>40.983157894736848</v>
      </c>
      <c r="AT45" s="26">
        <v>-2.421052631578946E-2</v>
      </c>
      <c r="AU45" s="28">
        <v>5.0000000000000044E-2</v>
      </c>
      <c r="AW45" s="41">
        <v>21.052631578947398</v>
      </c>
      <c r="AX45" s="25">
        <v>46.666666666666629</v>
      </c>
      <c r="AY45" s="30">
        <v>48.066666666666663</v>
      </c>
      <c r="BA45" s="41">
        <v>252.63157894736841</v>
      </c>
      <c r="BB45" s="25">
        <v>271.83333333333337</v>
      </c>
      <c r="BC45" s="30">
        <v>283.26888333333341</v>
      </c>
      <c r="BE45" s="42">
        <v>147.36842105263159</v>
      </c>
      <c r="BF45" s="25">
        <v>148.16666666666663</v>
      </c>
      <c r="BG45" s="30">
        <v>149.33111666666662</v>
      </c>
      <c r="BI45" s="43">
        <v>421.0526315789474</v>
      </c>
      <c r="BJ45" s="44">
        <v>466.66666666666663</v>
      </c>
      <c r="BK45" s="45">
        <v>480.66666666666669</v>
      </c>
      <c r="BM45" s="450">
        <v>10</v>
      </c>
      <c r="BN45" s="25">
        <v>10.760517799352749</v>
      </c>
      <c r="BO45" s="30">
        <v>10.555555555555555</v>
      </c>
      <c r="BP45" s="26">
        <v>7.6051779935274899E-2</v>
      </c>
      <c r="BQ45" s="28">
        <v>-1.904761904761898E-2</v>
      </c>
      <c r="BR45" s="391">
        <v>2.205071664829107E-3</v>
      </c>
      <c r="BS45" s="392">
        <v>2.2322721813239342E-3</v>
      </c>
      <c r="BT45" s="393">
        <v>2.2170954692264629E-3</v>
      </c>
      <c r="BV45" s="450">
        <v>4</v>
      </c>
      <c r="BW45" s="470">
        <v>4</v>
      </c>
      <c r="BX45" s="46">
        <v>0</v>
      </c>
      <c r="BY45" s="450">
        <v>4</v>
      </c>
      <c r="BZ45" s="243">
        <v>3096.6018739692763</v>
      </c>
      <c r="CA45" s="46">
        <v>773.15046849231908</v>
      </c>
      <c r="CB45" s="109">
        <v>5</v>
      </c>
      <c r="CC45" s="243">
        <v>4.5238095238095255</v>
      </c>
      <c r="CD45" s="46">
        <v>-9.52380952380949E-2</v>
      </c>
      <c r="CF45" s="474">
        <v>3103.3623917686291</v>
      </c>
      <c r="CG45" s="474">
        <v>45981.486104705182</v>
      </c>
      <c r="CH45" s="228">
        <v>3.4629104824906326E-3</v>
      </c>
      <c r="CI45" s="49">
        <v>10.079365079365081</v>
      </c>
      <c r="CJ45" s="49">
        <v>1505.1628425925924</v>
      </c>
      <c r="CK45" s="249">
        <v>0.7</v>
      </c>
      <c r="CM45" s="214">
        <v>2.5</v>
      </c>
      <c r="CN45" s="51">
        <v>6.94092194789106E-3</v>
      </c>
      <c r="CO45" s="226">
        <v>2.2166666666666663</v>
      </c>
    </row>
    <row r="46" spans="2:93" ht="13.5" customHeight="1" outlineLevel="1" x14ac:dyDescent="0.25">
      <c r="B46" s="53"/>
      <c r="C46" s="53"/>
      <c r="D46" s="53"/>
      <c r="E46" s="24" t="s">
        <v>28</v>
      </c>
      <c r="F46" s="451">
        <v>400</v>
      </c>
      <c r="G46" s="54">
        <v>420</v>
      </c>
      <c r="H46" s="55">
        <v>432.6</v>
      </c>
      <c r="I46" s="110"/>
      <c r="J46" s="111"/>
      <c r="K46" s="448">
        <v>0.05</v>
      </c>
      <c r="L46" s="448">
        <v>0.03</v>
      </c>
      <c r="M46" s="394">
        <v>2.7045300878972278E-3</v>
      </c>
      <c r="N46" s="395">
        <v>2.7136165401389113E-3</v>
      </c>
      <c r="O46" s="396">
        <v>2.690410607904683E-3</v>
      </c>
      <c r="Q46" s="458">
        <v>0.65</v>
      </c>
      <c r="R46" s="343">
        <v>0.68250000000000011</v>
      </c>
      <c r="S46" s="343">
        <v>0.68932500000000008</v>
      </c>
      <c r="T46" s="60">
        <v>0.05</v>
      </c>
      <c r="U46" s="37">
        <v>0.01</v>
      </c>
      <c r="W46" s="464">
        <v>0.05</v>
      </c>
      <c r="X46" s="483">
        <v>0.1</v>
      </c>
      <c r="Y46" s="374">
        <v>0.1</v>
      </c>
      <c r="AA46" s="401">
        <v>0.63157894736842102</v>
      </c>
      <c r="AB46" s="395">
        <v>0.64722222222222237</v>
      </c>
      <c r="AC46" s="396">
        <v>0.65480555555555564</v>
      </c>
      <c r="AD46" s="15"/>
      <c r="AE46" s="63">
        <v>42.10526315789474</v>
      </c>
      <c r="AF46" s="62">
        <v>43.368421052631582</v>
      </c>
      <c r="AG46" s="62">
        <v>45.536842105263162</v>
      </c>
      <c r="AH46" s="60">
        <v>0.03</v>
      </c>
      <c r="AI46" s="37">
        <v>0.05</v>
      </c>
      <c r="AJ46" s="15"/>
      <c r="AK46" s="63">
        <v>50.526315789473685</v>
      </c>
      <c r="AL46" s="62">
        <v>52.0421052631579</v>
      </c>
      <c r="AM46" s="62">
        <v>54.644210526315796</v>
      </c>
      <c r="AN46" s="434">
        <v>3.0000000000000027E-2</v>
      </c>
      <c r="AO46" s="435">
        <v>5.0000000000000044E-2</v>
      </c>
      <c r="AQ46" s="63">
        <v>40</v>
      </c>
      <c r="AR46" s="64">
        <v>39.031578947368423</v>
      </c>
      <c r="AS46" s="65">
        <v>40.983157894736848</v>
      </c>
      <c r="AT46" s="56">
        <v>-2.421052631578946E-2</v>
      </c>
      <c r="AU46" s="27">
        <v>5.0000000000000044E-2</v>
      </c>
      <c r="AW46" s="66">
        <v>21.052631578947398</v>
      </c>
      <c r="AX46" s="54">
        <v>46.666666666666629</v>
      </c>
      <c r="AY46" s="55">
        <v>48.066666666666663</v>
      </c>
      <c r="BA46" s="66">
        <v>252.63157894736841</v>
      </c>
      <c r="BB46" s="54">
        <v>271.83333333333337</v>
      </c>
      <c r="BC46" s="55">
        <v>283.26888333333341</v>
      </c>
      <c r="BE46" s="67">
        <v>147.36842105263159</v>
      </c>
      <c r="BF46" s="54">
        <v>148.16666666666663</v>
      </c>
      <c r="BG46" s="55">
        <v>149.33111666666662</v>
      </c>
      <c r="BI46" s="68">
        <v>421.0526315789474</v>
      </c>
      <c r="BJ46" s="62">
        <v>466.66666666666663</v>
      </c>
      <c r="BK46" s="69">
        <v>480.66666666666669</v>
      </c>
      <c r="BM46" s="451">
        <v>10</v>
      </c>
      <c r="BN46" s="54">
        <v>10.760517799352749</v>
      </c>
      <c r="BO46" s="55">
        <v>10.555555555555555</v>
      </c>
      <c r="BP46" s="56">
        <v>7.6051779935274899E-2</v>
      </c>
      <c r="BQ46" s="27">
        <v>-1.904761904761898E-2</v>
      </c>
      <c r="BR46" s="394">
        <v>2.205071664829107E-3</v>
      </c>
      <c r="BS46" s="395">
        <v>2.2322721813239342E-3</v>
      </c>
      <c r="BT46" s="396">
        <v>2.2170954692264629E-3</v>
      </c>
      <c r="BV46" s="451">
        <v>4</v>
      </c>
      <c r="BW46" s="469">
        <v>4</v>
      </c>
      <c r="BX46" s="70">
        <v>0</v>
      </c>
      <c r="BY46" s="451">
        <v>4</v>
      </c>
      <c r="BZ46" s="71">
        <v>3096.6018739692763</v>
      </c>
      <c r="CA46" s="70">
        <v>773.15046849231908</v>
      </c>
      <c r="CB46" s="113">
        <v>5</v>
      </c>
      <c r="CC46" s="71">
        <v>4.5238095238095255</v>
      </c>
      <c r="CD46" s="70">
        <v>-9.52380952380949E-2</v>
      </c>
      <c r="CF46" s="475">
        <v>3103.3623917686291</v>
      </c>
      <c r="CG46" s="475">
        <v>45981.486104705182</v>
      </c>
      <c r="CH46" s="229">
        <v>3.4629104824906326E-3</v>
      </c>
      <c r="CI46" s="72">
        <v>10.079365079365081</v>
      </c>
      <c r="CJ46" s="72">
        <v>1505.1628425925924</v>
      </c>
      <c r="CK46" s="250">
        <v>0.7</v>
      </c>
      <c r="CM46" s="215">
        <v>2.5</v>
      </c>
      <c r="CN46" s="216">
        <v>6.94092194789106E-3</v>
      </c>
      <c r="CO46" s="217">
        <v>2.2166666666666663</v>
      </c>
    </row>
    <row r="47" spans="2:93" ht="13.5" customHeight="1" outlineLevel="1" x14ac:dyDescent="0.25">
      <c r="B47" s="53"/>
      <c r="C47" s="53"/>
      <c r="D47" s="53"/>
      <c r="E47" s="24" t="s">
        <v>29</v>
      </c>
      <c r="F47" s="451">
        <v>400</v>
      </c>
      <c r="G47" s="54">
        <v>420</v>
      </c>
      <c r="H47" s="55">
        <v>432.6</v>
      </c>
      <c r="I47" s="110"/>
      <c r="J47" s="111"/>
      <c r="K47" s="448">
        <v>0.05</v>
      </c>
      <c r="L47" s="448">
        <v>0.03</v>
      </c>
      <c r="M47" s="394">
        <v>2.7045300878972278E-3</v>
      </c>
      <c r="N47" s="395">
        <v>2.7136165401389113E-3</v>
      </c>
      <c r="O47" s="396">
        <v>2.690410607904683E-3</v>
      </c>
      <c r="Q47" s="458">
        <v>0.65</v>
      </c>
      <c r="R47" s="343">
        <v>0.68250000000000011</v>
      </c>
      <c r="S47" s="343">
        <v>0.68932500000000008</v>
      </c>
      <c r="T47" s="60">
        <v>0.05</v>
      </c>
      <c r="U47" s="37">
        <v>0.01</v>
      </c>
      <c r="W47" s="464">
        <v>0.05</v>
      </c>
      <c r="X47" s="483">
        <v>0.1</v>
      </c>
      <c r="Y47" s="374">
        <v>0.1</v>
      </c>
      <c r="AA47" s="401">
        <v>0.63157894736842102</v>
      </c>
      <c r="AB47" s="395">
        <v>0.64722222222222237</v>
      </c>
      <c r="AC47" s="396">
        <v>0.65480555555555564</v>
      </c>
      <c r="AD47" s="15"/>
      <c r="AE47" s="63">
        <v>42.10526315789474</v>
      </c>
      <c r="AF47" s="62">
        <v>43.368421052631582</v>
      </c>
      <c r="AG47" s="62">
        <v>45.536842105263162</v>
      </c>
      <c r="AH47" s="60">
        <v>0.03</v>
      </c>
      <c r="AI47" s="37">
        <v>0.05</v>
      </c>
      <c r="AJ47" s="15"/>
      <c r="AK47" s="63">
        <v>50.526315789473685</v>
      </c>
      <c r="AL47" s="62">
        <v>52.0421052631579</v>
      </c>
      <c r="AM47" s="62">
        <v>54.644210526315796</v>
      </c>
      <c r="AN47" s="434">
        <v>3.0000000000000027E-2</v>
      </c>
      <c r="AO47" s="435">
        <v>5.0000000000000044E-2</v>
      </c>
      <c r="AQ47" s="63">
        <v>40</v>
      </c>
      <c r="AR47" s="64">
        <v>39.031578947368423</v>
      </c>
      <c r="AS47" s="65">
        <v>40.983157894736848</v>
      </c>
      <c r="AT47" s="56">
        <v>-2.421052631578946E-2</v>
      </c>
      <c r="AU47" s="27">
        <v>5.0000000000000044E-2</v>
      </c>
      <c r="AW47" s="66">
        <v>21.052631578947398</v>
      </c>
      <c r="AX47" s="54">
        <v>46.666666666666629</v>
      </c>
      <c r="AY47" s="55">
        <v>48.066666666666663</v>
      </c>
      <c r="BA47" s="66">
        <v>252.63157894736841</v>
      </c>
      <c r="BB47" s="54">
        <v>271.83333333333337</v>
      </c>
      <c r="BC47" s="55">
        <v>283.26888333333341</v>
      </c>
      <c r="BE47" s="67">
        <v>147.36842105263159</v>
      </c>
      <c r="BF47" s="54">
        <v>148.16666666666663</v>
      </c>
      <c r="BG47" s="55">
        <v>149.33111666666662</v>
      </c>
      <c r="BI47" s="68">
        <v>421.0526315789474</v>
      </c>
      <c r="BJ47" s="62">
        <v>466.66666666666663</v>
      </c>
      <c r="BK47" s="69">
        <v>480.66666666666669</v>
      </c>
      <c r="BM47" s="451">
        <v>10</v>
      </c>
      <c r="BN47" s="54">
        <v>10.760517799352749</v>
      </c>
      <c r="BO47" s="55">
        <v>10.555555555555555</v>
      </c>
      <c r="BP47" s="56">
        <v>7.6051779935274899E-2</v>
      </c>
      <c r="BQ47" s="27">
        <v>-1.904761904761898E-2</v>
      </c>
      <c r="BR47" s="394">
        <v>2.205071664829107E-3</v>
      </c>
      <c r="BS47" s="395">
        <v>2.2322721813239342E-3</v>
      </c>
      <c r="BT47" s="396">
        <v>2.2170954692264629E-3</v>
      </c>
      <c r="BV47" s="451">
        <v>4</v>
      </c>
      <c r="BW47" s="469">
        <v>4</v>
      </c>
      <c r="BX47" s="70">
        <v>0</v>
      </c>
      <c r="BY47" s="451">
        <v>4</v>
      </c>
      <c r="BZ47" s="71">
        <v>3096.6018739692763</v>
      </c>
      <c r="CA47" s="70">
        <v>773.15046849231908</v>
      </c>
      <c r="CB47" s="113">
        <v>5</v>
      </c>
      <c r="CC47" s="71">
        <v>4.5238095238095255</v>
      </c>
      <c r="CD47" s="70">
        <v>-9.52380952380949E-2</v>
      </c>
      <c r="CF47" s="475">
        <v>3103.3623917686291</v>
      </c>
      <c r="CG47" s="475">
        <v>45981.486104705182</v>
      </c>
      <c r="CH47" s="229">
        <v>3.4629104824906326E-3</v>
      </c>
      <c r="CI47" s="72">
        <v>10.079365079365081</v>
      </c>
      <c r="CJ47" s="72">
        <v>1505.1628425925924</v>
      </c>
      <c r="CK47" s="250">
        <v>0.7</v>
      </c>
      <c r="CM47" s="215">
        <v>2.5</v>
      </c>
      <c r="CN47" s="216">
        <v>6.94092194789106E-3</v>
      </c>
      <c r="CO47" s="217">
        <v>2.2166666666666663</v>
      </c>
    </row>
    <row r="48" spans="2:93" ht="13.5" customHeight="1" outlineLevel="1" x14ac:dyDescent="0.25">
      <c r="B48" s="53"/>
      <c r="C48" s="53"/>
      <c r="D48" s="53"/>
      <c r="E48" s="24" t="s">
        <v>32</v>
      </c>
      <c r="F48" s="451">
        <v>400</v>
      </c>
      <c r="G48" s="54">
        <v>420</v>
      </c>
      <c r="H48" s="55">
        <v>432.6</v>
      </c>
      <c r="I48" s="110"/>
      <c r="J48" s="111"/>
      <c r="K48" s="448">
        <v>0.05</v>
      </c>
      <c r="L48" s="448">
        <v>0.03</v>
      </c>
      <c r="M48" s="394">
        <v>2.7045300878972278E-3</v>
      </c>
      <c r="N48" s="395">
        <v>2.7136165401389113E-3</v>
      </c>
      <c r="O48" s="396">
        <v>2.690410607904683E-3</v>
      </c>
      <c r="Q48" s="458">
        <v>0.65</v>
      </c>
      <c r="R48" s="343">
        <v>0.68250000000000011</v>
      </c>
      <c r="S48" s="343">
        <v>0.68932500000000008</v>
      </c>
      <c r="T48" s="60">
        <v>0.05</v>
      </c>
      <c r="U48" s="37">
        <v>0.01</v>
      </c>
      <c r="W48" s="464">
        <v>0.05</v>
      </c>
      <c r="X48" s="483">
        <v>0.1</v>
      </c>
      <c r="Y48" s="374">
        <v>0.1</v>
      </c>
      <c r="AA48" s="401">
        <v>0.63157894736842102</v>
      </c>
      <c r="AB48" s="395">
        <v>0.64722222222222237</v>
      </c>
      <c r="AC48" s="396">
        <v>0.65480555555555564</v>
      </c>
      <c r="AD48" s="15"/>
      <c r="AE48" s="63">
        <v>42.10526315789474</v>
      </c>
      <c r="AF48" s="62">
        <v>43.368421052631582</v>
      </c>
      <c r="AG48" s="62">
        <v>45.536842105263162</v>
      </c>
      <c r="AH48" s="60">
        <v>0.03</v>
      </c>
      <c r="AI48" s="37">
        <v>0.05</v>
      </c>
      <c r="AJ48" s="15"/>
      <c r="AK48" s="63">
        <v>50.526315789473685</v>
      </c>
      <c r="AL48" s="62">
        <v>52.0421052631579</v>
      </c>
      <c r="AM48" s="62">
        <v>54.644210526315796</v>
      </c>
      <c r="AN48" s="434">
        <v>3.0000000000000027E-2</v>
      </c>
      <c r="AO48" s="435">
        <v>5.0000000000000044E-2</v>
      </c>
      <c r="AQ48" s="63">
        <v>40</v>
      </c>
      <c r="AR48" s="64">
        <v>39.031578947368423</v>
      </c>
      <c r="AS48" s="65">
        <v>40.983157894736848</v>
      </c>
      <c r="AT48" s="56">
        <v>-2.421052631578946E-2</v>
      </c>
      <c r="AU48" s="27">
        <v>5.0000000000000044E-2</v>
      </c>
      <c r="AW48" s="66">
        <v>21.052631578947398</v>
      </c>
      <c r="AX48" s="54">
        <v>46.666666666666629</v>
      </c>
      <c r="AY48" s="55">
        <v>48.066666666666663</v>
      </c>
      <c r="BA48" s="66">
        <v>252.63157894736841</v>
      </c>
      <c r="BB48" s="54">
        <v>271.83333333333337</v>
      </c>
      <c r="BC48" s="55">
        <v>283.26888333333341</v>
      </c>
      <c r="BE48" s="67">
        <v>147.36842105263159</v>
      </c>
      <c r="BF48" s="54">
        <v>148.16666666666663</v>
      </c>
      <c r="BG48" s="55">
        <v>149.33111666666662</v>
      </c>
      <c r="BI48" s="68">
        <v>421.0526315789474</v>
      </c>
      <c r="BJ48" s="62">
        <v>466.66666666666663</v>
      </c>
      <c r="BK48" s="69">
        <v>480.66666666666669</v>
      </c>
      <c r="BM48" s="451">
        <v>10</v>
      </c>
      <c r="BN48" s="54">
        <v>10.760517799352749</v>
      </c>
      <c r="BO48" s="55">
        <v>10.555555555555555</v>
      </c>
      <c r="BP48" s="56">
        <v>7.6051779935274899E-2</v>
      </c>
      <c r="BQ48" s="27">
        <v>-1.904761904761898E-2</v>
      </c>
      <c r="BR48" s="394">
        <v>2.205071664829107E-3</v>
      </c>
      <c r="BS48" s="395">
        <v>2.2322721813239342E-3</v>
      </c>
      <c r="BT48" s="396">
        <v>2.2170954692264629E-3</v>
      </c>
      <c r="BV48" s="451">
        <v>4</v>
      </c>
      <c r="BW48" s="469">
        <v>4</v>
      </c>
      <c r="BX48" s="70">
        <v>0</v>
      </c>
      <c r="BY48" s="451">
        <v>4</v>
      </c>
      <c r="BZ48" s="71">
        <v>3096.6018739692763</v>
      </c>
      <c r="CA48" s="70">
        <v>773.15046849231908</v>
      </c>
      <c r="CB48" s="113">
        <v>5</v>
      </c>
      <c r="CC48" s="71">
        <v>4.5238095238095255</v>
      </c>
      <c r="CD48" s="70">
        <v>-9.52380952380949E-2</v>
      </c>
      <c r="CF48" s="475">
        <v>3103.3623917686291</v>
      </c>
      <c r="CG48" s="475">
        <v>45981.486104705182</v>
      </c>
      <c r="CH48" s="229">
        <v>3.4629104824906326E-3</v>
      </c>
      <c r="CI48" s="72">
        <v>10.079365079365081</v>
      </c>
      <c r="CJ48" s="72">
        <v>1505.1628425925924</v>
      </c>
      <c r="CK48" s="250">
        <v>0.7</v>
      </c>
      <c r="CM48" s="215">
        <v>2.5</v>
      </c>
      <c r="CN48" s="216">
        <v>6.94092194789106E-3</v>
      </c>
      <c r="CO48" s="217">
        <v>2.2166666666666663</v>
      </c>
    </row>
    <row r="49" spans="2:93" ht="13.5" customHeight="1" x14ac:dyDescent="0.25">
      <c r="B49" s="540" t="s">
        <v>45</v>
      </c>
      <c r="C49" s="540"/>
      <c r="D49" s="540"/>
      <c r="E49" s="540"/>
      <c r="F49" s="88">
        <v>1600</v>
      </c>
      <c r="G49" s="89">
        <v>1680</v>
      </c>
      <c r="H49" s="90">
        <v>1730.4</v>
      </c>
      <c r="I49" s="90"/>
      <c r="J49" s="92"/>
      <c r="K49" s="94">
        <v>5.0000000000000044E-2</v>
      </c>
      <c r="L49" s="94">
        <v>3.0000000000000027E-2</v>
      </c>
      <c r="M49" s="366">
        <v>1.0818120351588911E-2</v>
      </c>
      <c r="N49" s="367">
        <v>1.0854466160555645E-2</v>
      </c>
      <c r="O49" s="94">
        <v>1.0761642431618732E-2</v>
      </c>
      <c r="Q49" s="345">
        <v>0.68157894736842106</v>
      </c>
      <c r="R49" s="346">
        <v>0.74722222222222223</v>
      </c>
      <c r="S49" s="349">
        <v>0.75480555555555562</v>
      </c>
      <c r="T49" s="126">
        <v>9.6310596310596353E-2</v>
      </c>
      <c r="U49" s="98">
        <v>1.0148698884758334E-2</v>
      </c>
      <c r="V49" s="13"/>
      <c r="W49" s="375">
        <v>5.0000000000000065E-2</v>
      </c>
      <c r="X49" s="376">
        <v>9.9999999999999922E-2</v>
      </c>
      <c r="Y49" s="377">
        <v>9.9999999999999992E-2</v>
      </c>
      <c r="AA49" s="366">
        <v>0.63157894736842102</v>
      </c>
      <c r="AB49" s="367">
        <v>0.64722222222222237</v>
      </c>
      <c r="AC49" s="94">
        <v>0.65480555555555564</v>
      </c>
      <c r="AD49" s="15"/>
      <c r="AE49" s="95">
        <v>42.10526315789474</v>
      </c>
      <c r="AF49" s="96">
        <v>43.368421052631582</v>
      </c>
      <c r="AG49" s="99">
        <v>45.536842105263162</v>
      </c>
      <c r="AH49" s="126">
        <v>3.0000000000000027E-2</v>
      </c>
      <c r="AI49" s="98">
        <v>5.0000000000000044E-2</v>
      </c>
      <c r="AJ49" s="15"/>
      <c r="AK49" s="95">
        <v>50.526315789473685</v>
      </c>
      <c r="AL49" s="96">
        <v>52.0421052631579</v>
      </c>
      <c r="AM49" s="99">
        <v>54.644210526315796</v>
      </c>
      <c r="AN49" s="126">
        <v>3.0000000000000027E-2</v>
      </c>
      <c r="AO49" s="98">
        <v>5.0000000000000044E-2</v>
      </c>
      <c r="AQ49" s="95">
        <v>40</v>
      </c>
      <c r="AR49" s="96">
        <v>39.031578947368423</v>
      </c>
      <c r="AS49" s="99">
        <v>40.983157894736848</v>
      </c>
      <c r="AT49" s="91">
        <v>-2.421052631578946E-2</v>
      </c>
      <c r="AU49" s="92">
        <v>5.0000000000000044E-2</v>
      </c>
      <c r="AW49" s="88">
        <v>84.210526315789593</v>
      </c>
      <c r="AX49" s="89">
        <v>186.66666666666652</v>
      </c>
      <c r="AY49" s="90">
        <v>192.26666666666665</v>
      </c>
      <c r="BA49" s="88">
        <v>1010.5263157894736</v>
      </c>
      <c r="BB49" s="89">
        <v>1087.3333333333335</v>
      </c>
      <c r="BC49" s="90">
        <v>1133.0755333333336</v>
      </c>
      <c r="BE49" s="88">
        <v>589.47368421052636</v>
      </c>
      <c r="BF49" s="89">
        <v>592.66666666666652</v>
      </c>
      <c r="BG49" s="90">
        <v>597.32446666666647</v>
      </c>
      <c r="BI49" s="100">
        <v>1684.2105263157896</v>
      </c>
      <c r="BJ49" s="101">
        <v>1866.6666666666665</v>
      </c>
      <c r="BK49" s="102">
        <v>1922.6666666666667</v>
      </c>
      <c r="BM49" s="88">
        <v>40</v>
      </c>
      <c r="BN49" s="89">
        <v>43.042071197410998</v>
      </c>
      <c r="BO49" s="90">
        <v>42.222222222222221</v>
      </c>
      <c r="BP49" s="91">
        <v>7.6051779935274899E-2</v>
      </c>
      <c r="BQ49" s="92">
        <v>-1.904761904761898E-2</v>
      </c>
      <c r="BR49" s="366">
        <v>8.8202866593164279E-3</v>
      </c>
      <c r="BS49" s="367">
        <v>8.9290887252957366E-3</v>
      </c>
      <c r="BT49" s="94">
        <v>8.8683818769058516E-3</v>
      </c>
      <c r="BV49" s="88">
        <v>16</v>
      </c>
      <c r="BW49" s="282">
        <v>16</v>
      </c>
      <c r="BX49" s="103">
        <v>0</v>
      </c>
      <c r="BY49" s="88">
        <v>16</v>
      </c>
      <c r="BZ49" s="282">
        <v>12386.407495877105</v>
      </c>
      <c r="CA49" s="103">
        <v>773.15046849231908</v>
      </c>
      <c r="CB49" s="282">
        <v>20</v>
      </c>
      <c r="CC49" s="282">
        <v>18.095238095238102</v>
      </c>
      <c r="CD49" s="103">
        <v>-9.52380952380949E-2</v>
      </c>
      <c r="CF49" s="115">
        <v>12413.449567074516</v>
      </c>
      <c r="CG49" s="115">
        <v>183925.94441882073</v>
      </c>
      <c r="CH49" s="308">
        <v>3.4629104824906326E-3</v>
      </c>
      <c r="CI49" s="115">
        <v>40.317460317460323</v>
      </c>
      <c r="CJ49" s="115">
        <v>6020.6513703703695</v>
      </c>
      <c r="CK49" s="308">
        <v>0.7</v>
      </c>
      <c r="CM49" s="290">
        <v>2.5</v>
      </c>
      <c r="CN49" s="291">
        <v>6.94092194789106E-3</v>
      </c>
      <c r="CO49" s="292">
        <v>2.2166666666666663</v>
      </c>
    </row>
    <row r="50" spans="2:93" ht="13.5" customHeight="1" outlineLevel="1" x14ac:dyDescent="0.25">
      <c r="B50" s="23" t="s">
        <v>22</v>
      </c>
      <c r="C50" s="23" t="s">
        <v>46</v>
      </c>
      <c r="D50" s="23" t="s">
        <v>31</v>
      </c>
      <c r="E50" s="24" t="s">
        <v>25</v>
      </c>
      <c r="F50" s="450">
        <v>400</v>
      </c>
      <c r="G50" s="25">
        <v>420</v>
      </c>
      <c r="H50" s="30">
        <v>432.6</v>
      </c>
      <c r="I50" s="106"/>
      <c r="J50" s="107"/>
      <c r="K50" s="447">
        <v>0.05</v>
      </c>
      <c r="L50" s="447">
        <v>0.03</v>
      </c>
      <c r="M50" s="391">
        <v>2.7045300878972278E-3</v>
      </c>
      <c r="N50" s="392">
        <v>2.7136165401389113E-3</v>
      </c>
      <c r="O50" s="393">
        <v>2.690410607904683E-3</v>
      </c>
      <c r="Q50" s="457">
        <v>0.65</v>
      </c>
      <c r="R50" s="343">
        <v>0.68250000000000011</v>
      </c>
      <c r="S50" s="343">
        <v>0.68932500000000008</v>
      </c>
      <c r="T50" s="34">
        <v>0.05</v>
      </c>
      <c r="U50" s="35">
        <v>0.01</v>
      </c>
      <c r="V50" s="29"/>
      <c r="W50" s="463">
        <v>0.05</v>
      </c>
      <c r="X50" s="482">
        <v>0.1</v>
      </c>
      <c r="Y50" s="378">
        <v>0.1</v>
      </c>
      <c r="AA50" s="400">
        <v>0.63157894736842102</v>
      </c>
      <c r="AB50" s="392">
        <v>0.64722222222222237</v>
      </c>
      <c r="AC50" s="393">
        <v>0.65480555555555564</v>
      </c>
      <c r="AD50" s="15"/>
      <c r="AE50" s="38">
        <v>42.10526315789474</v>
      </c>
      <c r="AF50" s="62">
        <v>43.368421052631582</v>
      </c>
      <c r="AG50" s="62">
        <v>45.536842105263162</v>
      </c>
      <c r="AH50" s="34">
        <v>0.03</v>
      </c>
      <c r="AI50" s="35">
        <v>0.05</v>
      </c>
      <c r="AJ50" s="15"/>
      <c r="AK50" s="38">
        <v>50.526315789473685</v>
      </c>
      <c r="AL50" s="62">
        <v>52.0421052631579</v>
      </c>
      <c r="AM50" s="62">
        <v>54.644210526315796</v>
      </c>
      <c r="AN50" s="432">
        <v>3.0000000000000027E-2</v>
      </c>
      <c r="AO50" s="433">
        <v>5.0000000000000044E-2</v>
      </c>
      <c r="AQ50" s="38">
        <v>40</v>
      </c>
      <c r="AR50" s="64">
        <v>39.031578947368423</v>
      </c>
      <c r="AS50" s="65">
        <v>40.983157894736848</v>
      </c>
      <c r="AT50" s="26">
        <v>-2.421052631578946E-2</v>
      </c>
      <c r="AU50" s="28">
        <v>5.0000000000000044E-2</v>
      </c>
      <c r="AW50" s="41">
        <v>21.052631578947398</v>
      </c>
      <c r="AX50" s="25">
        <v>46.666666666666629</v>
      </c>
      <c r="AY50" s="30">
        <v>48.066666666666663</v>
      </c>
      <c r="BA50" s="41">
        <v>252.63157894736841</v>
      </c>
      <c r="BB50" s="25">
        <v>271.83333333333337</v>
      </c>
      <c r="BC50" s="30">
        <v>283.26888333333341</v>
      </c>
      <c r="BE50" s="42">
        <v>147.36842105263159</v>
      </c>
      <c r="BF50" s="25">
        <v>148.16666666666663</v>
      </c>
      <c r="BG50" s="30">
        <v>149.33111666666662</v>
      </c>
      <c r="BI50" s="43">
        <v>421.0526315789474</v>
      </c>
      <c r="BJ50" s="44">
        <v>466.66666666666663</v>
      </c>
      <c r="BK50" s="45">
        <v>480.66666666666669</v>
      </c>
      <c r="BM50" s="450">
        <v>10</v>
      </c>
      <c r="BN50" s="25">
        <v>10.760517799352749</v>
      </c>
      <c r="BO50" s="30">
        <v>10.555555555555555</v>
      </c>
      <c r="BP50" s="26">
        <v>7.6051779935274899E-2</v>
      </c>
      <c r="BQ50" s="28">
        <v>-1.904761904761898E-2</v>
      </c>
      <c r="BR50" s="391">
        <v>2.205071664829107E-3</v>
      </c>
      <c r="BS50" s="392">
        <v>2.2322721813239342E-3</v>
      </c>
      <c r="BT50" s="393">
        <v>2.2170954692264629E-3</v>
      </c>
      <c r="BV50" s="450">
        <v>4</v>
      </c>
      <c r="BW50" s="470">
        <v>4</v>
      </c>
      <c r="BX50" s="46">
        <v>0</v>
      </c>
      <c r="BY50" s="450">
        <v>4</v>
      </c>
      <c r="BZ50" s="243">
        <v>3096.6018739692763</v>
      </c>
      <c r="CA50" s="46">
        <v>773.15046849231908</v>
      </c>
      <c r="CB50" s="109">
        <v>5</v>
      </c>
      <c r="CC50" s="243">
        <v>4.5238095238095255</v>
      </c>
      <c r="CD50" s="46">
        <v>-9.52380952380949E-2</v>
      </c>
      <c r="CF50" s="474">
        <v>3103.3623917686291</v>
      </c>
      <c r="CG50" s="474">
        <v>45981.486104705182</v>
      </c>
      <c r="CH50" s="228">
        <v>3.4629104824906326E-3</v>
      </c>
      <c r="CI50" s="49">
        <v>10.079365079365081</v>
      </c>
      <c r="CJ50" s="49">
        <v>1505.1628425925924</v>
      </c>
      <c r="CK50" s="249">
        <v>0.7</v>
      </c>
      <c r="CM50" s="214">
        <v>2.5</v>
      </c>
      <c r="CN50" s="51">
        <v>6.94092194789106E-3</v>
      </c>
      <c r="CO50" s="226">
        <v>2.2166666666666663</v>
      </c>
    </row>
    <row r="51" spans="2:93" ht="13.5" customHeight="1" outlineLevel="1" x14ac:dyDescent="0.25">
      <c r="B51" s="53"/>
      <c r="C51" s="53"/>
      <c r="D51" s="53"/>
      <c r="E51" s="24" t="s">
        <v>26</v>
      </c>
      <c r="F51" s="451">
        <v>400</v>
      </c>
      <c r="G51" s="54">
        <v>420</v>
      </c>
      <c r="H51" s="55">
        <v>432.6</v>
      </c>
      <c r="I51" s="110"/>
      <c r="J51" s="111"/>
      <c r="K51" s="448">
        <v>0.05</v>
      </c>
      <c r="L51" s="448">
        <v>0.03</v>
      </c>
      <c r="M51" s="394">
        <v>2.7045300878972278E-3</v>
      </c>
      <c r="N51" s="395">
        <v>2.7136165401389113E-3</v>
      </c>
      <c r="O51" s="396">
        <v>2.690410607904683E-3</v>
      </c>
      <c r="Q51" s="458">
        <v>0.65</v>
      </c>
      <c r="R51" s="343">
        <v>0.68250000000000011</v>
      </c>
      <c r="S51" s="343">
        <v>0.68932500000000008</v>
      </c>
      <c r="T51" s="60">
        <v>0.05</v>
      </c>
      <c r="U51" s="37">
        <v>0.01</v>
      </c>
      <c r="W51" s="464">
        <v>0.05</v>
      </c>
      <c r="X51" s="483">
        <v>0.1</v>
      </c>
      <c r="Y51" s="374">
        <v>0.1</v>
      </c>
      <c r="AA51" s="401">
        <v>0.63157894736842102</v>
      </c>
      <c r="AB51" s="395">
        <v>0.64722222222222237</v>
      </c>
      <c r="AC51" s="396">
        <v>0.65480555555555564</v>
      </c>
      <c r="AD51" s="15"/>
      <c r="AE51" s="63">
        <v>42.10526315789474</v>
      </c>
      <c r="AF51" s="62">
        <v>43.368421052631582</v>
      </c>
      <c r="AG51" s="62">
        <v>45.536842105263162</v>
      </c>
      <c r="AH51" s="60">
        <v>0.03</v>
      </c>
      <c r="AI51" s="37">
        <v>0.05</v>
      </c>
      <c r="AJ51" s="15"/>
      <c r="AK51" s="63">
        <v>50.526315789473685</v>
      </c>
      <c r="AL51" s="62">
        <v>52.0421052631579</v>
      </c>
      <c r="AM51" s="62">
        <v>54.644210526315796</v>
      </c>
      <c r="AN51" s="434">
        <v>3.0000000000000027E-2</v>
      </c>
      <c r="AO51" s="435">
        <v>5.0000000000000044E-2</v>
      </c>
      <c r="AQ51" s="63">
        <v>40</v>
      </c>
      <c r="AR51" s="64">
        <v>39.031578947368423</v>
      </c>
      <c r="AS51" s="65">
        <v>40.983157894736848</v>
      </c>
      <c r="AT51" s="56">
        <v>-2.421052631578946E-2</v>
      </c>
      <c r="AU51" s="27">
        <v>5.0000000000000044E-2</v>
      </c>
      <c r="AW51" s="66">
        <v>21.052631578947398</v>
      </c>
      <c r="AX51" s="54">
        <v>46.666666666666629</v>
      </c>
      <c r="AY51" s="55">
        <v>48.066666666666663</v>
      </c>
      <c r="BA51" s="66">
        <v>252.63157894736841</v>
      </c>
      <c r="BB51" s="54">
        <v>271.83333333333337</v>
      </c>
      <c r="BC51" s="55">
        <v>283.26888333333341</v>
      </c>
      <c r="BE51" s="67">
        <v>147.36842105263159</v>
      </c>
      <c r="BF51" s="54">
        <v>148.16666666666663</v>
      </c>
      <c r="BG51" s="55">
        <v>149.33111666666662</v>
      </c>
      <c r="BI51" s="68">
        <v>421.0526315789474</v>
      </c>
      <c r="BJ51" s="62">
        <v>466.66666666666663</v>
      </c>
      <c r="BK51" s="69">
        <v>480.66666666666669</v>
      </c>
      <c r="BM51" s="451">
        <v>10</v>
      </c>
      <c r="BN51" s="54">
        <v>10.760517799352749</v>
      </c>
      <c r="BO51" s="55">
        <v>10.555555555555555</v>
      </c>
      <c r="BP51" s="56">
        <v>7.6051779935274899E-2</v>
      </c>
      <c r="BQ51" s="27">
        <v>-1.904761904761898E-2</v>
      </c>
      <c r="BR51" s="394">
        <v>2.205071664829107E-3</v>
      </c>
      <c r="BS51" s="395">
        <v>2.2322721813239342E-3</v>
      </c>
      <c r="BT51" s="396">
        <v>2.2170954692264629E-3</v>
      </c>
      <c r="BV51" s="451">
        <v>4</v>
      </c>
      <c r="BW51" s="469">
        <v>4</v>
      </c>
      <c r="BX51" s="70">
        <v>0</v>
      </c>
      <c r="BY51" s="451">
        <v>4</v>
      </c>
      <c r="BZ51" s="71">
        <v>3096.6018739692763</v>
      </c>
      <c r="CA51" s="70">
        <v>773.15046849231908</v>
      </c>
      <c r="CB51" s="113">
        <v>5</v>
      </c>
      <c r="CC51" s="71">
        <v>4.5238095238095255</v>
      </c>
      <c r="CD51" s="70">
        <v>-9.52380952380949E-2</v>
      </c>
      <c r="CF51" s="475">
        <v>3103.3623917686291</v>
      </c>
      <c r="CG51" s="475">
        <v>45981.486104705182</v>
      </c>
      <c r="CH51" s="229">
        <v>3.4629104824906326E-3</v>
      </c>
      <c r="CI51" s="72">
        <v>10.079365079365081</v>
      </c>
      <c r="CJ51" s="72">
        <v>1505.1628425925924</v>
      </c>
      <c r="CK51" s="250">
        <v>0.7</v>
      </c>
      <c r="CM51" s="215">
        <v>2.5</v>
      </c>
      <c r="CN51" s="216">
        <v>6.94092194789106E-3</v>
      </c>
      <c r="CO51" s="217">
        <v>2.2166666666666663</v>
      </c>
    </row>
    <row r="52" spans="2:93" ht="13.5" customHeight="1" outlineLevel="1" x14ac:dyDescent="0.25">
      <c r="B52" s="53"/>
      <c r="C52" s="53"/>
      <c r="D52" s="53"/>
      <c r="E52" s="24" t="s">
        <v>27</v>
      </c>
      <c r="F52" s="451">
        <v>400</v>
      </c>
      <c r="G52" s="54">
        <v>420</v>
      </c>
      <c r="H52" s="55">
        <v>432.6</v>
      </c>
      <c r="I52" s="110"/>
      <c r="J52" s="111"/>
      <c r="K52" s="448">
        <v>0.05</v>
      </c>
      <c r="L52" s="448">
        <v>0.03</v>
      </c>
      <c r="M52" s="394">
        <v>2.7045300878972278E-3</v>
      </c>
      <c r="N52" s="395">
        <v>2.7136165401389113E-3</v>
      </c>
      <c r="O52" s="396">
        <v>2.690410607904683E-3</v>
      </c>
      <c r="Q52" s="458">
        <v>0.65</v>
      </c>
      <c r="R52" s="343">
        <v>0.68250000000000011</v>
      </c>
      <c r="S52" s="343">
        <v>0.68932500000000008</v>
      </c>
      <c r="T52" s="60">
        <v>0.05</v>
      </c>
      <c r="U52" s="37">
        <v>0.01</v>
      </c>
      <c r="W52" s="464">
        <v>0.05</v>
      </c>
      <c r="X52" s="483">
        <v>0.1</v>
      </c>
      <c r="Y52" s="374">
        <v>0.1</v>
      </c>
      <c r="AA52" s="401">
        <v>0.63157894736842102</v>
      </c>
      <c r="AB52" s="395">
        <v>0.64722222222222237</v>
      </c>
      <c r="AC52" s="396">
        <v>0.65480555555555564</v>
      </c>
      <c r="AD52" s="15"/>
      <c r="AE52" s="63">
        <v>42.10526315789474</v>
      </c>
      <c r="AF52" s="62">
        <v>43.368421052631582</v>
      </c>
      <c r="AG52" s="62">
        <v>45.536842105263162</v>
      </c>
      <c r="AH52" s="60">
        <v>0.03</v>
      </c>
      <c r="AI52" s="37">
        <v>0.05</v>
      </c>
      <c r="AJ52" s="15"/>
      <c r="AK52" s="63">
        <v>50.526315789473685</v>
      </c>
      <c r="AL52" s="62">
        <v>52.0421052631579</v>
      </c>
      <c r="AM52" s="62">
        <v>54.644210526315796</v>
      </c>
      <c r="AN52" s="434">
        <v>3.0000000000000027E-2</v>
      </c>
      <c r="AO52" s="435">
        <v>5.0000000000000044E-2</v>
      </c>
      <c r="AQ52" s="63">
        <v>40</v>
      </c>
      <c r="AR52" s="64">
        <v>39.031578947368423</v>
      </c>
      <c r="AS52" s="65">
        <v>40.983157894736848</v>
      </c>
      <c r="AT52" s="56">
        <v>-2.421052631578946E-2</v>
      </c>
      <c r="AU52" s="27">
        <v>5.0000000000000044E-2</v>
      </c>
      <c r="AW52" s="66">
        <v>21.052631578947398</v>
      </c>
      <c r="AX52" s="54">
        <v>46.666666666666629</v>
      </c>
      <c r="AY52" s="55">
        <v>48.066666666666663</v>
      </c>
      <c r="BA52" s="66">
        <v>252.63157894736841</v>
      </c>
      <c r="BB52" s="54">
        <v>271.83333333333337</v>
      </c>
      <c r="BC52" s="55">
        <v>283.26888333333341</v>
      </c>
      <c r="BE52" s="67">
        <v>147.36842105263159</v>
      </c>
      <c r="BF52" s="54">
        <v>148.16666666666663</v>
      </c>
      <c r="BG52" s="55">
        <v>149.33111666666662</v>
      </c>
      <c r="BI52" s="68">
        <v>421.0526315789474</v>
      </c>
      <c r="BJ52" s="62">
        <v>466.66666666666663</v>
      </c>
      <c r="BK52" s="69">
        <v>480.66666666666669</v>
      </c>
      <c r="BM52" s="451">
        <v>10</v>
      </c>
      <c r="BN52" s="54">
        <v>10.760517799352749</v>
      </c>
      <c r="BO52" s="55">
        <v>10.555555555555555</v>
      </c>
      <c r="BP52" s="56">
        <v>7.6051779935274899E-2</v>
      </c>
      <c r="BQ52" s="27">
        <v>-1.904761904761898E-2</v>
      </c>
      <c r="BR52" s="394">
        <v>2.205071664829107E-3</v>
      </c>
      <c r="BS52" s="395">
        <v>2.2322721813239342E-3</v>
      </c>
      <c r="BT52" s="396">
        <v>2.2170954692264629E-3</v>
      </c>
      <c r="BV52" s="451">
        <v>4</v>
      </c>
      <c r="BW52" s="469">
        <v>4</v>
      </c>
      <c r="BX52" s="70">
        <v>0</v>
      </c>
      <c r="BY52" s="451">
        <v>4</v>
      </c>
      <c r="BZ52" s="71">
        <v>3096.6018739692763</v>
      </c>
      <c r="CA52" s="70">
        <v>773.15046849231908</v>
      </c>
      <c r="CB52" s="113">
        <v>5</v>
      </c>
      <c r="CC52" s="71">
        <v>4.5238095238095255</v>
      </c>
      <c r="CD52" s="70">
        <v>-9.52380952380949E-2</v>
      </c>
      <c r="CF52" s="475">
        <v>3103.3623917686291</v>
      </c>
      <c r="CG52" s="475">
        <v>45981.486104705182</v>
      </c>
      <c r="CH52" s="229">
        <v>3.4629104824906326E-3</v>
      </c>
      <c r="CI52" s="72">
        <v>10.079365079365081</v>
      </c>
      <c r="CJ52" s="72">
        <v>1505.1628425925924</v>
      </c>
      <c r="CK52" s="250">
        <v>0.7</v>
      </c>
      <c r="CM52" s="215">
        <v>2.5</v>
      </c>
      <c r="CN52" s="216">
        <v>6.94092194789106E-3</v>
      </c>
      <c r="CO52" s="217">
        <v>2.2166666666666663</v>
      </c>
    </row>
    <row r="53" spans="2:93" ht="13.5" customHeight="1" outlineLevel="1" x14ac:dyDescent="0.25">
      <c r="B53" s="53"/>
      <c r="C53" s="53"/>
      <c r="D53" s="53"/>
      <c r="E53" s="24" t="s">
        <v>28</v>
      </c>
      <c r="F53" s="451">
        <v>400</v>
      </c>
      <c r="G53" s="54">
        <v>420</v>
      </c>
      <c r="H53" s="55">
        <v>432.6</v>
      </c>
      <c r="I53" s="110"/>
      <c r="J53" s="111"/>
      <c r="K53" s="448">
        <v>0.05</v>
      </c>
      <c r="L53" s="448">
        <v>0.03</v>
      </c>
      <c r="M53" s="394">
        <v>2.7045300878972278E-3</v>
      </c>
      <c r="N53" s="395">
        <v>2.7136165401389113E-3</v>
      </c>
      <c r="O53" s="396">
        <v>2.690410607904683E-3</v>
      </c>
      <c r="Q53" s="458">
        <v>0.65</v>
      </c>
      <c r="R53" s="343">
        <v>0.68250000000000011</v>
      </c>
      <c r="S53" s="343">
        <v>0.68932500000000008</v>
      </c>
      <c r="T53" s="60">
        <v>0.05</v>
      </c>
      <c r="U53" s="37">
        <v>0.01</v>
      </c>
      <c r="W53" s="464">
        <v>0.05</v>
      </c>
      <c r="X53" s="483">
        <v>0.1</v>
      </c>
      <c r="Y53" s="374">
        <v>0.1</v>
      </c>
      <c r="AA53" s="401">
        <v>0.63157894736842102</v>
      </c>
      <c r="AB53" s="395">
        <v>0.64722222222222237</v>
      </c>
      <c r="AC53" s="396">
        <v>0.65480555555555564</v>
      </c>
      <c r="AD53" s="15"/>
      <c r="AE53" s="63">
        <v>42.10526315789474</v>
      </c>
      <c r="AF53" s="62">
        <v>43.368421052631582</v>
      </c>
      <c r="AG53" s="62">
        <v>45.536842105263162</v>
      </c>
      <c r="AH53" s="60">
        <v>0.03</v>
      </c>
      <c r="AI53" s="37">
        <v>0.05</v>
      </c>
      <c r="AJ53" s="15"/>
      <c r="AK53" s="63">
        <v>50.526315789473685</v>
      </c>
      <c r="AL53" s="62">
        <v>52.0421052631579</v>
      </c>
      <c r="AM53" s="62">
        <v>54.644210526315796</v>
      </c>
      <c r="AN53" s="434">
        <v>3.0000000000000027E-2</v>
      </c>
      <c r="AO53" s="435">
        <v>5.0000000000000044E-2</v>
      </c>
      <c r="AQ53" s="63">
        <v>40</v>
      </c>
      <c r="AR53" s="64">
        <v>39.031578947368423</v>
      </c>
      <c r="AS53" s="65">
        <v>40.983157894736848</v>
      </c>
      <c r="AT53" s="56">
        <v>-2.421052631578946E-2</v>
      </c>
      <c r="AU53" s="27">
        <v>5.0000000000000044E-2</v>
      </c>
      <c r="AW53" s="66">
        <v>21.052631578947398</v>
      </c>
      <c r="AX53" s="54">
        <v>46.666666666666629</v>
      </c>
      <c r="AY53" s="55">
        <v>48.066666666666663</v>
      </c>
      <c r="BA53" s="66">
        <v>252.63157894736841</v>
      </c>
      <c r="BB53" s="54">
        <v>271.83333333333337</v>
      </c>
      <c r="BC53" s="55">
        <v>283.26888333333341</v>
      </c>
      <c r="BE53" s="67">
        <v>147.36842105263159</v>
      </c>
      <c r="BF53" s="54">
        <v>148.16666666666663</v>
      </c>
      <c r="BG53" s="55">
        <v>149.33111666666662</v>
      </c>
      <c r="BI53" s="68">
        <v>421.0526315789474</v>
      </c>
      <c r="BJ53" s="62">
        <v>466.66666666666663</v>
      </c>
      <c r="BK53" s="69">
        <v>480.66666666666669</v>
      </c>
      <c r="BM53" s="451">
        <v>10</v>
      </c>
      <c r="BN53" s="54">
        <v>10.760517799352749</v>
      </c>
      <c r="BO53" s="55">
        <v>10.555555555555555</v>
      </c>
      <c r="BP53" s="56">
        <v>7.6051779935274899E-2</v>
      </c>
      <c r="BQ53" s="27">
        <v>-1.904761904761898E-2</v>
      </c>
      <c r="BR53" s="394">
        <v>2.205071664829107E-3</v>
      </c>
      <c r="BS53" s="395">
        <v>2.2322721813239342E-3</v>
      </c>
      <c r="BT53" s="396">
        <v>2.2170954692264629E-3</v>
      </c>
      <c r="BV53" s="451">
        <v>4</v>
      </c>
      <c r="BW53" s="469">
        <v>4</v>
      </c>
      <c r="BX53" s="70">
        <v>0</v>
      </c>
      <c r="BY53" s="451">
        <v>4</v>
      </c>
      <c r="BZ53" s="71">
        <v>3096.6018739692763</v>
      </c>
      <c r="CA53" s="70">
        <v>773.15046849231908</v>
      </c>
      <c r="CB53" s="113">
        <v>5</v>
      </c>
      <c r="CC53" s="71">
        <v>4.5238095238095255</v>
      </c>
      <c r="CD53" s="70">
        <v>-9.52380952380949E-2</v>
      </c>
      <c r="CF53" s="475">
        <v>3103.3623917686291</v>
      </c>
      <c r="CG53" s="475">
        <v>45981.486104705182</v>
      </c>
      <c r="CH53" s="229">
        <v>3.4629104824906326E-3</v>
      </c>
      <c r="CI53" s="72">
        <v>10.079365079365081</v>
      </c>
      <c r="CJ53" s="72">
        <v>1505.1628425925924</v>
      </c>
      <c r="CK53" s="250">
        <v>0.7</v>
      </c>
      <c r="CM53" s="215">
        <v>2.5</v>
      </c>
      <c r="CN53" s="216">
        <v>6.94092194789106E-3</v>
      </c>
      <c r="CO53" s="217">
        <v>2.2166666666666663</v>
      </c>
    </row>
    <row r="54" spans="2:93" ht="13.5" customHeight="1" outlineLevel="1" x14ac:dyDescent="0.25">
      <c r="B54" s="53"/>
      <c r="C54" s="53"/>
      <c r="D54" s="53"/>
      <c r="E54" s="24" t="s">
        <v>29</v>
      </c>
      <c r="F54" s="451">
        <v>400</v>
      </c>
      <c r="G54" s="54">
        <v>420</v>
      </c>
      <c r="H54" s="55">
        <v>432.6</v>
      </c>
      <c r="I54" s="110"/>
      <c r="J54" s="111"/>
      <c r="K54" s="448">
        <v>0.05</v>
      </c>
      <c r="L54" s="448">
        <v>0.03</v>
      </c>
      <c r="M54" s="394">
        <v>2.7045300878972278E-3</v>
      </c>
      <c r="N54" s="395">
        <v>2.7136165401389113E-3</v>
      </c>
      <c r="O54" s="396">
        <v>2.690410607904683E-3</v>
      </c>
      <c r="Q54" s="458">
        <v>0.65</v>
      </c>
      <c r="R54" s="343">
        <v>0.68250000000000011</v>
      </c>
      <c r="S54" s="343">
        <v>0.68932500000000008</v>
      </c>
      <c r="T54" s="60">
        <v>0.05</v>
      </c>
      <c r="U54" s="37">
        <v>0.01</v>
      </c>
      <c r="W54" s="464">
        <v>0.05</v>
      </c>
      <c r="X54" s="483">
        <v>0.1</v>
      </c>
      <c r="Y54" s="374">
        <v>0.1</v>
      </c>
      <c r="AA54" s="401">
        <v>0.63157894736842102</v>
      </c>
      <c r="AB54" s="395">
        <v>0.64722222222222237</v>
      </c>
      <c r="AC54" s="396">
        <v>0.65480555555555564</v>
      </c>
      <c r="AD54" s="15"/>
      <c r="AE54" s="63">
        <v>42.10526315789474</v>
      </c>
      <c r="AF54" s="62">
        <v>43.368421052631582</v>
      </c>
      <c r="AG54" s="62">
        <v>45.536842105263162</v>
      </c>
      <c r="AH54" s="60">
        <v>0.03</v>
      </c>
      <c r="AI54" s="37">
        <v>0.05</v>
      </c>
      <c r="AJ54" s="15"/>
      <c r="AK54" s="63">
        <v>50.526315789473685</v>
      </c>
      <c r="AL54" s="62">
        <v>52.0421052631579</v>
      </c>
      <c r="AM54" s="62">
        <v>54.644210526315796</v>
      </c>
      <c r="AN54" s="434">
        <v>3.0000000000000027E-2</v>
      </c>
      <c r="AO54" s="435">
        <v>5.0000000000000044E-2</v>
      </c>
      <c r="AQ54" s="63">
        <v>40</v>
      </c>
      <c r="AR54" s="64">
        <v>39.031578947368423</v>
      </c>
      <c r="AS54" s="65">
        <v>40.983157894736848</v>
      </c>
      <c r="AT54" s="56">
        <v>-2.421052631578946E-2</v>
      </c>
      <c r="AU54" s="27">
        <v>5.0000000000000044E-2</v>
      </c>
      <c r="AW54" s="66">
        <v>21.052631578947398</v>
      </c>
      <c r="AX54" s="54">
        <v>46.666666666666629</v>
      </c>
      <c r="AY54" s="55">
        <v>48.066666666666663</v>
      </c>
      <c r="BA54" s="66">
        <v>252.63157894736841</v>
      </c>
      <c r="BB54" s="54">
        <v>271.83333333333337</v>
      </c>
      <c r="BC54" s="55">
        <v>283.26888333333341</v>
      </c>
      <c r="BE54" s="67">
        <v>147.36842105263159</v>
      </c>
      <c r="BF54" s="54">
        <v>148.16666666666663</v>
      </c>
      <c r="BG54" s="55">
        <v>149.33111666666662</v>
      </c>
      <c r="BI54" s="68">
        <v>421.0526315789474</v>
      </c>
      <c r="BJ54" s="62">
        <v>466.66666666666663</v>
      </c>
      <c r="BK54" s="69">
        <v>480.66666666666669</v>
      </c>
      <c r="BM54" s="451">
        <v>10</v>
      </c>
      <c r="BN54" s="54">
        <v>10.760517799352749</v>
      </c>
      <c r="BO54" s="55">
        <v>10.555555555555555</v>
      </c>
      <c r="BP54" s="56">
        <v>7.6051779935274899E-2</v>
      </c>
      <c r="BQ54" s="27">
        <v>-1.904761904761898E-2</v>
      </c>
      <c r="BR54" s="394">
        <v>2.205071664829107E-3</v>
      </c>
      <c r="BS54" s="395">
        <v>2.2322721813239342E-3</v>
      </c>
      <c r="BT54" s="396">
        <v>2.2170954692264629E-3</v>
      </c>
      <c r="BV54" s="451">
        <v>4</v>
      </c>
      <c r="BW54" s="469">
        <v>4</v>
      </c>
      <c r="BX54" s="70">
        <v>0</v>
      </c>
      <c r="BY54" s="451">
        <v>4</v>
      </c>
      <c r="BZ54" s="71">
        <v>3096.6018739692763</v>
      </c>
      <c r="CA54" s="70">
        <v>773.15046849231908</v>
      </c>
      <c r="CB54" s="113">
        <v>5</v>
      </c>
      <c r="CC54" s="71">
        <v>4.5238095238095255</v>
      </c>
      <c r="CD54" s="70">
        <v>-9.52380952380949E-2</v>
      </c>
      <c r="CF54" s="475">
        <v>3103.3623917686291</v>
      </c>
      <c r="CG54" s="475">
        <v>45981.486104705182</v>
      </c>
      <c r="CH54" s="229">
        <v>3.4629104824906326E-3</v>
      </c>
      <c r="CI54" s="72">
        <v>10.079365079365081</v>
      </c>
      <c r="CJ54" s="72">
        <v>1505.1628425925924</v>
      </c>
      <c r="CK54" s="250">
        <v>0.7</v>
      </c>
      <c r="CM54" s="215">
        <v>2.5</v>
      </c>
      <c r="CN54" s="216">
        <v>6.94092194789106E-3</v>
      </c>
      <c r="CO54" s="217">
        <v>2.2166666666666663</v>
      </c>
    </row>
    <row r="55" spans="2:93" ht="13.5" customHeight="1" outlineLevel="1" x14ac:dyDescent="0.25">
      <c r="B55" s="53"/>
      <c r="C55" s="53"/>
      <c r="D55" s="53"/>
      <c r="E55" s="24" t="s">
        <v>32</v>
      </c>
      <c r="F55" s="451">
        <v>400</v>
      </c>
      <c r="G55" s="54">
        <v>420</v>
      </c>
      <c r="H55" s="55">
        <v>432.6</v>
      </c>
      <c r="I55" s="110"/>
      <c r="J55" s="111"/>
      <c r="K55" s="448">
        <v>0.05</v>
      </c>
      <c r="L55" s="448">
        <v>0.03</v>
      </c>
      <c r="M55" s="394">
        <v>2.7045300878972278E-3</v>
      </c>
      <c r="N55" s="395">
        <v>2.7136165401389113E-3</v>
      </c>
      <c r="O55" s="396">
        <v>2.690410607904683E-3</v>
      </c>
      <c r="Q55" s="458">
        <v>0.65</v>
      </c>
      <c r="R55" s="343">
        <v>0.68250000000000011</v>
      </c>
      <c r="S55" s="343">
        <v>0.68932500000000008</v>
      </c>
      <c r="T55" s="60">
        <v>0.05</v>
      </c>
      <c r="U55" s="37">
        <v>0.01</v>
      </c>
      <c r="W55" s="464">
        <v>0.05</v>
      </c>
      <c r="X55" s="483">
        <v>0.1</v>
      </c>
      <c r="Y55" s="374">
        <v>0.1</v>
      </c>
      <c r="AA55" s="401">
        <v>0.63157894736842102</v>
      </c>
      <c r="AB55" s="395">
        <v>0.64722222222222237</v>
      </c>
      <c r="AC55" s="396">
        <v>0.65480555555555564</v>
      </c>
      <c r="AD55" s="15"/>
      <c r="AE55" s="63">
        <v>42.10526315789474</v>
      </c>
      <c r="AF55" s="62">
        <v>43.368421052631582</v>
      </c>
      <c r="AG55" s="62">
        <v>45.536842105263162</v>
      </c>
      <c r="AH55" s="60">
        <v>0.03</v>
      </c>
      <c r="AI55" s="37">
        <v>0.05</v>
      </c>
      <c r="AJ55" s="15"/>
      <c r="AK55" s="63">
        <v>50.526315789473685</v>
      </c>
      <c r="AL55" s="62">
        <v>52.0421052631579</v>
      </c>
      <c r="AM55" s="62">
        <v>54.644210526315796</v>
      </c>
      <c r="AN55" s="434">
        <v>3.0000000000000027E-2</v>
      </c>
      <c r="AO55" s="435">
        <v>5.0000000000000044E-2</v>
      </c>
      <c r="AQ55" s="63">
        <v>40</v>
      </c>
      <c r="AR55" s="64">
        <v>39.031578947368423</v>
      </c>
      <c r="AS55" s="65">
        <v>40.983157894736848</v>
      </c>
      <c r="AT55" s="56">
        <v>-2.421052631578946E-2</v>
      </c>
      <c r="AU55" s="27">
        <v>5.0000000000000044E-2</v>
      </c>
      <c r="AW55" s="66">
        <v>21.052631578947398</v>
      </c>
      <c r="AX55" s="54">
        <v>46.666666666666629</v>
      </c>
      <c r="AY55" s="55">
        <v>48.066666666666663</v>
      </c>
      <c r="BA55" s="66">
        <v>252.63157894736841</v>
      </c>
      <c r="BB55" s="54">
        <v>271.83333333333337</v>
      </c>
      <c r="BC55" s="55">
        <v>283.26888333333341</v>
      </c>
      <c r="BE55" s="67">
        <v>147.36842105263159</v>
      </c>
      <c r="BF55" s="54">
        <v>148.16666666666663</v>
      </c>
      <c r="BG55" s="55">
        <v>149.33111666666662</v>
      </c>
      <c r="BI55" s="68">
        <v>421.0526315789474</v>
      </c>
      <c r="BJ55" s="62">
        <v>466.66666666666663</v>
      </c>
      <c r="BK55" s="69">
        <v>480.66666666666669</v>
      </c>
      <c r="BM55" s="451">
        <v>10</v>
      </c>
      <c r="BN55" s="54">
        <v>10.760517799352749</v>
      </c>
      <c r="BO55" s="55">
        <v>10.555555555555555</v>
      </c>
      <c r="BP55" s="56">
        <v>7.6051779935274899E-2</v>
      </c>
      <c r="BQ55" s="27">
        <v>-1.904761904761898E-2</v>
      </c>
      <c r="BR55" s="394">
        <v>2.205071664829107E-3</v>
      </c>
      <c r="BS55" s="395">
        <v>2.2322721813239342E-3</v>
      </c>
      <c r="BT55" s="396">
        <v>2.2170954692264629E-3</v>
      </c>
      <c r="BV55" s="451">
        <v>4</v>
      </c>
      <c r="BW55" s="469">
        <v>4</v>
      </c>
      <c r="BX55" s="70">
        <v>0</v>
      </c>
      <c r="BY55" s="451">
        <v>4</v>
      </c>
      <c r="BZ55" s="71">
        <v>3096.6018739692763</v>
      </c>
      <c r="CA55" s="70">
        <v>773.15046849231908</v>
      </c>
      <c r="CB55" s="113">
        <v>5</v>
      </c>
      <c r="CC55" s="71">
        <v>4.5238095238095255</v>
      </c>
      <c r="CD55" s="70">
        <v>-9.52380952380949E-2</v>
      </c>
      <c r="CF55" s="475">
        <v>3103.3623917686291</v>
      </c>
      <c r="CG55" s="475">
        <v>45981.486104705182</v>
      </c>
      <c r="CH55" s="229">
        <v>3.4629104824906326E-3</v>
      </c>
      <c r="CI55" s="72">
        <v>10.079365079365081</v>
      </c>
      <c r="CJ55" s="72">
        <v>1505.1628425925924</v>
      </c>
      <c r="CK55" s="250">
        <v>0.7</v>
      </c>
      <c r="CM55" s="215">
        <v>2.5</v>
      </c>
      <c r="CN55" s="216">
        <v>6.94092194789106E-3</v>
      </c>
      <c r="CO55" s="217">
        <v>2.2166666666666663</v>
      </c>
    </row>
    <row r="56" spans="2:93" ht="13.5" customHeight="1" x14ac:dyDescent="0.25">
      <c r="B56" s="540" t="s">
        <v>47</v>
      </c>
      <c r="C56" s="540"/>
      <c r="D56" s="540"/>
      <c r="E56" s="540"/>
      <c r="F56" s="88">
        <v>2400</v>
      </c>
      <c r="G56" s="89">
        <v>2520</v>
      </c>
      <c r="H56" s="90">
        <v>2595.6</v>
      </c>
      <c r="I56" s="90"/>
      <c r="J56" s="92"/>
      <c r="K56" s="94">
        <v>5.0000000000000044E-2</v>
      </c>
      <c r="L56" s="94">
        <v>3.0000000000000027E-2</v>
      </c>
      <c r="M56" s="366">
        <v>1.6227180527383367E-2</v>
      </c>
      <c r="N56" s="367">
        <v>1.6281699240833468E-2</v>
      </c>
      <c r="O56" s="94">
        <v>1.6142463647428097E-2</v>
      </c>
      <c r="Q56" s="345">
        <v>0.68157894736842117</v>
      </c>
      <c r="R56" s="346">
        <v>0.74722222222222223</v>
      </c>
      <c r="S56" s="349">
        <v>0.75480555555555573</v>
      </c>
      <c r="T56" s="126">
        <v>9.631059631059613E-2</v>
      </c>
      <c r="U56" s="98">
        <v>1.0148698884758556E-2</v>
      </c>
      <c r="V56" s="13"/>
      <c r="W56" s="375">
        <v>5.0000000000000155E-2</v>
      </c>
      <c r="X56" s="376">
        <v>9.9999999999999853E-2</v>
      </c>
      <c r="Y56" s="377">
        <v>0.10000000000000003</v>
      </c>
      <c r="AA56" s="366">
        <v>0.63157894736842102</v>
      </c>
      <c r="AB56" s="367">
        <v>0.64722222222222237</v>
      </c>
      <c r="AC56" s="94">
        <v>0.65480555555555575</v>
      </c>
      <c r="AD56" s="15"/>
      <c r="AE56" s="95">
        <v>42.105263157894747</v>
      </c>
      <c r="AF56" s="96">
        <v>43.368421052631575</v>
      </c>
      <c r="AG56" s="99">
        <v>45.536842105263155</v>
      </c>
      <c r="AH56" s="126">
        <v>2.9999999999999583E-2</v>
      </c>
      <c r="AI56" s="98">
        <v>5.0000000000000044E-2</v>
      </c>
      <c r="AJ56" s="15"/>
      <c r="AK56" s="95">
        <v>50.526315789473692</v>
      </c>
      <c r="AL56" s="96">
        <v>52.042105263157886</v>
      </c>
      <c r="AM56" s="99">
        <v>54.644210526315781</v>
      </c>
      <c r="AN56" s="126">
        <v>2.9999999999999583E-2</v>
      </c>
      <c r="AO56" s="98">
        <v>5.0000000000000044E-2</v>
      </c>
      <c r="AQ56" s="95">
        <v>40</v>
      </c>
      <c r="AR56" s="96">
        <v>39.031578947368423</v>
      </c>
      <c r="AS56" s="99">
        <v>40.983157894736841</v>
      </c>
      <c r="AT56" s="91">
        <v>-2.421052631578946E-2</v>
      </c>
      <c r="AU56" s="92">
        <v>4.9999999999999822E-2</v>
      </c>
      <c r="AW56" s="88">
        <v>126.31578947368439</v>
      </c>
      <c r="AX56" s="89">
        <v>279.99999999999977</v>
      </c>
      <c r="AY56" s="90">
        <v>288.39999999999998</v>
      </c>
      <c r="BA56" s="88">
        <v>1515.7894736842104</v>
      </c>
      <c r="BB56" s="89">
        <v>1631.0000000000005</v>
      </c>
      <c r="BC56" s="90">
        <v>1699.6133000000004</v>
      </c>
      <c r="BE56" s="88">
        <v>884.21052631578948</v>
      </c>
      <c r="BF56" s="89">
        <v>888.99999999999977</v>
      </c>
      <c r="BG56" s="90">
        <v>895.9866999999997</v>
      </c>
      <c r="BI56" s="88">
        <v>2526.3157894736846</v>
      </c>
      <c r="BJ56" s="89">
        <v>2799.9999999999995</v>
      </c>
      <c r="BK56" s="90">
        <v>2884</v>
      </c>
      <c r="BM56" s="88">
        <v>60</v>
      </c>
      <c r="BN56" s="89">
        <v>64.5631067961165</v>
      </c>
      <c r="BO56" s="90">
        <v>63.333333333333336</v>
      </c>
      <c r="BP56" s="91">
        <v>7.6051779935274899E-2</v>
      </c>
      <c r="BQ56" s="92">
        <v>-1.904761904761898E-2</v>
      </c>
      <c r="BR56" s="366">
        <v>1.3230429988974642E-2</v>
      </c>
      <c r="BS56" s="367">
        <v>1.3393633087943606E-2</v>
      </c>
      <c r="BT56" s="94">
        <v>1.3302572815358777E-2</v>
      </c>
      <c r="BV56" s="88">
        <v>24</v>
      </c>
      <c r="BW56" s="88">
        <v>24</v>
      </c>
      <c r="BX56" s="103">
        <v>0</v>
      </c>
      <c r="BY56" s="88">
        <v>24</v>
      </c>
      <c r="BZ56" s="88">
        <v>18579.61124381566</v>
      </c>
      <c r="CA56" s="103">
        <v>773.15046849231919</v>
      </c>
      <c r="CB56" s="88">
        <v>30</v>
      </c>
      <c r="CC56" s="88">
        <v>27.142857142857153</v>
      </c>
      <c r="CD56" s="103">
        <v>-9.52380952380949E-2</v>
      </c>
      <c r="CF56" s="115">
        <v>18620.174350611775</v>
      </c>
      <c r="CG56" s="115">
        <v>275888.91662823112</v>
      </c>
      <c r="CH56" s="308">
        <v>3.462910482490633E-3</v>
      </c>
      <c r="CI56" s="115">
        <v>60.476190476190489</v>
      </c>
      <c r="CJ56" s="115">
        <v>9030.9770555555533</v>
      </c>
      <c r="CK56" s="308">
        <v>0.7</v>
      </c>
      <c r="CM56" s="290">
        <v>2.5</v>
      </c>
      <c r="CN56" s="291">
        <v>6.9409219478910591E-3</v>
      </c>
      <c r="CO56" s="292">
        <v>2.2166666666666663</v>
      </c>
    </row>
    <row r="57" spans="2:93" ht="13.5" customHeight="1" x14ac:dyDescent="0.25">
      <c r="B57" s="541" t="s">
        <v>48</v>
      </c>
      <c r="C57" s="541"/>
      <c r="D57" s="541"/>
      <c r="E57" s="541"/>
      <c r="F57" s="4">
        <v>4000</v>
      </c>
      <c r="G57" s="5">
        <v>4200</v>
      </c>
      <c r="H57" s="6">
        <v>4326</v>
      </c>
      <c r="I57" s="6"/>
      <c r="J57" s="8"/>
      <c r="K57" s="9">
        <v>5.0000000000000044E-2</v>
      </c>
      <c r="L57" s="9">
        <v>3.0000000000000027E-2</v>
      </c>
      <c r="M57" s="402">
        <v>2.7045300878972278E-2</v>
      </c>
      <c r="N57" s="318">
        <v>2.7136165401389113E-2</v>
      </c>
      <c r="O57" s="9">
        <v>2.6904106079046829E-2</v>
      </c>
      <c r="Q57" s="347">
        <v>0.68157894736842117</v>
      </c>
      <c r="R57" s="348">
        <v>0.74722222222222223</v>
      </c>
      <c r="S57" s="350">
        <v>0.75480555555555584</v>
      </c>
      <c r="T57" s="7">
        <v>9.631059631059613E-2</v>
      </c>
      <c r="U57" s="8">
        <v>1.0148698884758778E-2</v>
      </c>
      <c r="V57" s="13"/>
      <c r="W57" s="379">
        <v>5.0000000000000121E-2</v>
      </c>
      <c r="X57" s="380">
        <v>9.9999999999999881E-2</v>
      </c>
      <c r="Y57" s="381">
        <v>0.10000000000000006</v>
      </c>
      <c r="AA57" s="404">
        <v>0.63157894736842102</v>
      </c>
      <c r="AB57" s="405">
        <v>0.64722222222222237</v>
      </c>
      <c r="AC57" s="406">
        <v>0.65480555555555575</v>
      </c>
      <c r="AD57" s="15"/>
      <c r="AE57" s="10">
        <v>42.10526315789474</v>
      </c>
      <c r="AF57" s="11">
        <v>43.368421052631582</v>
      </c>
      <c r="AG57" s="12">
        <v>45.536842105263162</v>
      </c>
      <c r="AH57" s="7">
        <v>3.0000000000000027E-2</v>
      </c>
      <c r="AI57" s="8">
        <v>5.0000000000000044E-2</v>
      </c>
      <c r="AJ57" s="15"/>
      <c r="AK57" s="10">
        <v>50.526315789473685</v>
      </c>
      <c r="AL57" s="11">
        <v>52.0421052631579</v>
      </c>
      <c r="AM57" s="12">
        <v>54.644210526315796</v>
      </c>
      <c r="AN57" s="7">
        <v>3.0000000000000027E-2</v>
      </c>
      <c r="AO57" s="8">
        <v>5.0000000000000044E-2</v>
      </c>
      <c r="AQ57" s="10">
        <v>40</v>
      </c>
      <c r="AR57" s="11">
        <v>39.03157894736843</v>
      </c>
      <c r="AS57" s="12">
        <v>40.983157894736841</v>
      </c>
      <c r="AT57" s="7">
        <v>-2.4210526315789238E-2</v>
      </c>
      <c r="AU57" s="8">
        <v>4.9999999999999822E-2</v>
      </c>
      <c r="AW57" s="4">
        <v>210.52631578947398</v>
      </c>
      <c r="AX57" s="5">
        <v>466.66666666666629</v>
      </c>
      <c r="AY57" s="6">
        <v>480.66666666666663</v>
      </c>
      <c r="BA57" s="4">
        <v>2526.3157894736842</v>
      </c>
      <c r="BB57" s="5">
        <v>2718.3333333333339</v>
      </c>
      <c r="BC57" s="6">
        <v>2832.6888333333341</v>
      </c>
      <c r="BE57" s="4">
        <v>1473.6842105263158</v>
      </c>
      <c r="BF57" s="5">
        <v>1481.6666666666663</v>
      </c>
      <c r="BG57" s="6">
        <v>1493.3111666666662</v>
      </c>
      <c r="BI57" s="4">
        <v>4210.5263157894742</v>
      </c>
      <c r="BJ57" s="5">
        <v>4666.6666666666661</v>
      </c>
      <c r="BK57" s="6">
        <v>4806.666666666667</v>
      </c>
      <c r="BM57" s="4">
        <v>100</v>
      </c>
      <c r="BN57" s="5">
        <v>107.60517799352749</v>
      </c>
      <c r="BO57" s="6">
        <v>105.55555555555556</v>
      </c>
      <c r="BP57" s="7">
        <v>7.6051779935274899E-2</v>
      </c>
      <c r="BQ57" s="8">
        <v>-1.9047619047618869E-2</v>
      </c>
      <c r="BR57" s="402">
        <v>2.2050716648291068E-2</v>
      </c>
      <c r="BS57" s="318">
        <v>2.2322721813239341E-2</v>
      </c>
      <c r="BT57" s="9">
        <v>2.2170954692264627E-2</v>
      </c>
      <c r="BV57" s="4">
        <v>40</v>
      </c>
      <c r="BW57" s="4">
        <v>40</v>
      </c>
      <c r="BX57" s="262">
        <v>0</v>
      </c>
      <c r="BY57" s="4">
        <v>40</v>
      </c>
      <c r="BZ57" s="4">
        <v>30966.018739692765</v>
      </c>
      <c r="CA57" s="262">
        <v>773.15046849231908</v>
      </c>
      <c r="CB57" s="4">
        <v>50</v>
      </c>
      <c r="CC57" s="4">
        <v>45.238095238095255</v>
      </c>
      <c r="CD57" s="262">
        <v>-9.52380952380949E-2</v>
      </c>
      <c r="CF57" s="117">
        <v>31033.623917686291</v>
      </c>
      <c r="CG57" s="117">
        <v>459814.86104705185</v>
      </c>
      <c r="CH57" s="309">
        <v>3.4629104824906326E-3</v>
      </c>
      <c r="CI57" s="117">
        <v>100.79365079365081</v>
      </c>
      <c r="CJ57" s="117">
        <v>15051.628425925923</v>
      </c>
      <c r="CK57" s="309">
        <v>0.7</v>
      </c>
      <c r="CM57" s="293">
        <v>2.5</v>
      </c>
      <c r="CN57" s="294">
        <v>6.9409219478910591E-3</v>
      </c>
      <c r="CO57" s="295">
        <v>2.2166666666666663</v>
      </c>
    </row>
    <row r="58" spans="2:93" ht="13.5" customHeight="1" x14ac:dyDescent="0.25">
      <c r="B58" s="543" t="s">
        <v>49</v>
      </c>
      <c r="C58" s="543"/>
      <c r="D58" s="543"/>
      <c r="E58" s="543"/>
      <c r="F58" s="128">
        <v>53900</v>
      </c>
      <c r="G58" s="129">
        <v>56075</v>
      </c>
      <c r="H58" s="130">
        <v>59111.3</v>
      </c>
      <c r="I58" s="130"/>
      <c r="J58" s="132"/>
      <c r="K58" s="133">
        <v>4.0352504638218933E-2</v>
      </c>
      <c r="L58" s="133">
        <v>5.4147124386981771E-2</v>
      </c>
      <c r="M58" s="368">
        <v>0.36443542934415146</v>
      </c>
      <c r="N58" s="369">
        <v>0.36230011306735582</v>
      </c>
      <c r="O58" s="133">
        <v>0.36762290468570524</v>
      </c>
      <c r="Q58" s="351">
        <v>0.60649970181560497</v>
      </c>
      <c r="R58" s="352">
        <v>0.65823254625011363</v>
      </c>
      <c r="S58" s="353">
        <v>0.66300162893007908</v>
      </c>
      <c r="T58" s="131">
        <v>8.5297394672482652E-2</v>
      </c>
      <c r="U58" s="132">
        <v>7.24528543466052E-3</v>
      </c>
      <c r="V58" s="13"/>
      <c r="W58" s="383">
        <v>5.5712796664528531E-2</v>
      </c>
      <c r="X58" s="384">
        <v>8.6239017324515374E-2</v>
      </c>
      <c r="Y58" s="385">
        <v>8.9985203990051998E-2</v>
      </c>
      <c r="AA58" s="368">
        <v>0.55078690515107642</v>
      </c>
      <c r="AB58" s="369">
        <v>0.57199352892559829</v>
      </c>
      <c r="AC58" s="133">
        <v>0.57301642494002702</v>
      </c>
      <c r="AD58" s="15"/>
      <c r="AE58" s="134">
        <v>64.497278568565847</v>
      </c>
      <c r="AF58" s="135">
        <v>68.732356871036544</v>
      </c>
      <c r="AG58" s="136">
        <v>71.543088090223179</v>
      </c>
      <c r="AH58" s="131">
        <v>6.566289921780899E-2</v>
      </c>
      <c r="AI58" s="132">
        <v>4.089385766969178E-2</v>
      </c>
      <c r="AJ58" s="15"/>
      <c r="AK58" s="134">
        <v>77.396734282279013</v>
      </c>
      <c r="AL58" s="135">
        <v>82.478828245243847</v>
      </c>
      <c r="AM58" s="136">
        <v>85.851705708267815</v>
      </c>
      <c r="AN58" s="131">
        <v>6.566289921780899E-2</v>
      </c>
      <c r="AO58" s="132">
        <v>4.0893857669692002E-2</v>
      </c>
      <c r="AQ58" s="134">
        <v>60.903954802259889</v>
      </c>
      <c r="AR58" s="135">
        <v>62.804945956080445</v>
      </c>
      <c r="AS58" s="136">
        <v>65.105268714346181</v>
      </c>
      <c r="AT58" s="131">
        <v>3.1212934529335712E-2</v>
      </c>
      <c r="AU58" s="132">
        <v>3.6626458684867913E-2</v>
      </c>
      <c r="AW58" s="128">
        <v>3180.0915331807814</v>
      </c>
      <c r="AX58" s="129">
        <v>5292.2514619883032</v>
      </c>
      <c r="AY58" s="130">
        <v>5845.1163782605345</v>
      </c>
      <c r="BA58" s="128">
        <v>29687.414187643019</v>
      </c>
      <c r="BB58" s="129">
        <v>32074.537134502927</v>
      </c>
      <c r="BC58" s="130">
        <v>33871.745799557422</v>
      </c>
      <c r="BE58" s="128">
        <v>24212.585812356978</v>
      </c>
      <c r="BF58" s="129">
        <v>24000.462865497069</v>
      </c>
      <c r="BG58" s="130">
        <v>25239.554200442584</v>
      </c>
      <c r="BI58" s="128">
        <v>57080.091533180777</v>
      </c>
      <c r="BJ58" s="129">
        <v>61367.2514619883</v>
      </c>
      <c r="BK58" s="130">
        <v>64956.416378260532</v>
      </c>
      <c r="BM58" s="128">
        <v>885</v>
      </c>
      <c r="BN58" s="129">
        <v>892.84369481367435</v>
      </c>
      <c r="BO58" s="130">
        <v>907.93419898710306</v>
      </c>
      <c r="BP58" s="131">
        <v>8.8629319928523742E-3</v>
      </c>
      <c r="BQ58" s="132">
        <v>1.6901619243195665E-2</v>
      </c>
      <c r="BR58" s="368">
        <v>0.19514884233737598</v>
      </c>
      <c r="BS58" s="369">
        <v>0.18522065381676392</v>
      </c>
      <c r="BT58" s="133">
        <v>0.19070306516179553</v>
      </c>
      <c r="BV58" s="128">
        <v>165.5</v>
      </c>
      <c r="BW58" s="128">
        <v>171.4</v>
      </c>
      <c r="BX58" s="140">
        <v>3.5649546827794643E-2</v>
      </c>
      <c r="BY58" s="128">
        <v>156</v>
      </c>
      <c r="BZ58" s="128">
        <v>89038.937798433966</v>
      </c>
      <c r="CA58" s="140">
        <v>569.76242178483312</v>
      </c>
      <c r="CB58" s="128">
        <v>189</v>
      </c>
      <c r="CC58" s="128">
        <v>382.05625750224237</v>
      </c>
      <c r="CD58" s="140">
        <v>1.0214616799060443</v>
      </c>
      <c r="CF58" s="141">
        <v>89775.781493247647</v>
      </c>
      <c r="CG58" s="141">
        <v>1651407.5553505658</v>
      </c>
      <c r="CH58" s="310">
        <v>9.9280107653678777E-3</v>
      </c>
      <c r="CI58" s="141">
        <v>1100.9904564893454</v>
      </c>
      <c r="CJ58" s="141">
        <v>2824224.9467983423</v>
      </c>
      <c r="CK58" s="310">
        <v>0.70383016744015892</v>
      </c>
      <c r="CM58" s="296">
        <v>5.2537845057880679</v>
      </c>
      <c r="CN58" s="297">
        <v>2.0020053084881469E-2</v>
      </c>
      <c r="CO58" s="298">
        <v>3.1798415201974661</v>
      </c>
    </row>
    <row r="59" spans="2:93" ht="13.5" customHeight="1" x14ac:dyDescent="0.25">
      <c r="F59" s="57"/>
      <c r="G59" s="57"/>
      <c r="H59" s="57"/>
      <c r="I59" s="57"/>
      <c r="J59" s="142"/>
      <c r="K59" s="142"/>
      <c r="L59" s="143"/>
      <c r="M59" s="142"/>
      <c r="N59" s="143"/>
      <c r="O59" s="143"/>
      <c r="Q59" s="354"/>
      <c r="R59" s="354"/>
      <c r="S59" s="354"/>
      <c r="T59" s="142"/>
      <c r="U59" s="142"/>
      <c r="W59" s="386"/>
      <c r="X59" s="386"/>
      <c r="Y59" s="386"/>
      <c r="AA59" s="143"/>
      <c r="AB59" s="143"/>
      <c r="AC59" s="143"/>
      <c r="AE59" s="144"/>
      <c r="AF59" s="145"/>
      <c r="AG59" s="145"/>
      <c r="AH59" s="142"/>
      <c r="AI59" s="142"/>
      <c r="AK59" s="144"/>
      <c r="AL59" s="145"/>
      <c r="AM59" s="145"/>
      <c r="AN59" s="142"/>
      <c r="AO59" s="142"/>
      <c r="AQ59" s="144"/>
      <c r="AR59" s="145"/>
      <c r="AS59" s="145"/>
      <c r="AT59" s="142"/>
      <c r="AU59" s="142"/>
      <c r="AW59" s="57"/>
      <c r="AX59" s="57"/>
      <c r="AY59" s="57"/>
      <c r="BA59" s="57"/>
      <c r="BB59" s="57"/>
      <c r="BC59" s="57"/>
      <c r="BE59" s="57"/>
      <c r="BF59" s="57"/>
      <c r="BG59" s="57"/>
      <c r="BI59" s="144"/>
      <c r="BJ59" s="144"/>
      <c r="BK59" s="144"/>
      <c r="BM59" s="57"/>
      <c r="BN59" s="57"/>
      <c r="BO59" s="57"/>
      <c r="BP59" s="142"/>
      <c r="BQ59" s="142"/>
      <c r="BR59" s="143"/>
      <c r="BS59" s="143"/>
      <c r="BT59" s="143"/>
      <c r="BV59" s="57"/>
      <c r="BW59" s="142"/>
      <c r="BX59" s="142"/>
      <c r="BY59" s="57"/>
      <c r="BZ59" s="142"/>
      <c r="CA59" s="142"/>
      <c r="CB59" s="142"/>
      <c r="CC59" s="142"/>
      <c r="CD59" s="142"/>
      <c r="CF59" s="144"/>
      <c r="CG59" s="144"/>
      <c r="CH59" s="144"/>
      <c r="CI59" s="144"/>
      <c r="CJ59" s="144"/>
      <c r="CK59" s="144"/>
      <c r="CM59" s="144"/>
      <c r="CN59" s="144"/>
      <c r="CO59" s="144"/>
    </row>
    <row r="60" spans="2:93" ht="13.5" customHeight="1" outlineLevel="1" x14ac:dyDescent="0.25">
      <c r="B60" s="23" t="s">
        <v>50</v>
      </c>
      <c r="C60" s="23" t="s">
        <v>23</v>
      </c>
      <c r="D60" s="23" t="s">
        <v>51</v>
      </c>
      <c r="E60" s="24" t="s">
        <v>52</v>
      </c>
      <c r="F60" s="450">
        <v>400</v>
      </c>
      <c r="G60" s="25">
        <v>420</v>
      </c>
      <c r="H60" s="25">
        <v>453.6</v>
      </c>
      <c r="I60" s="146"/>
      <c r="J60" s="147"/>
      <c r="K60" s="33">
        <v>0.05</v>
      </c>
      <c r="L60" s="148">
        <v>0.08</v>
      </c>
      <c r="M60" s="391">
        <v>2.7045300878972278E-3</v>
      </c>
      <c r="N60" s="392">
        <v>2.7136165401389113E-3</v>
      </c>
      <c r="O60" s="393">
        <v>2.821013064599085E-3</v>
      </c>
      <c r="P60" s="29"/>
      <c r="Q60" s="457">
        <v>0.65</v>
      </c>
      <c r="R60" s="342">
        <v>0.68250000000000011</v>
      </c>
      <c r="S60" s="355">
        <v>0.73027500000000012</v>
      </c>
      <c r="T60" s="36">
        <v>0.05</v>
      </c>
      <c r="U60" s="35">
        <v>7.0000000000000007E-2</v>
      </c>
      <c r="V60" s="29"/>
      <c r="W60" s="463">
        <v>0.05</v>
      </c>
      <c r="X60" s="482">
        <v>0.1</v>
      </c>
      <c r="Y60" s="378">
        <v>0.08</v>
      </c>
      <c r="AA60" s="400">
        <v>0.63157894736842102</v>
      </c>
      <c r="AB60" s="392">
        <v>0.64722222222222237</v>
      </c>
      <c r="AC60" s="393">
        <v>0.70682065217391321</v>
      </c>
      <c r="AD60" s="15"/>
      <c r="AE60" s="38">
        <v>42.10526315789474</v>
      </c>
      <c r="AF60" s="44">
        <v>43.368421052631582</v>
      </c>
      <c r="AG60" s="45">
        <v>45.536842105263162</v>
      </c>
      <c r="AH60" s="36">
        <v>0.03</v>
      </c>
      <c r="AI60" s="35">
        <v>0.05</v>
      </c>
      <c r="AJ60" s="15"/>
      <c r="AK60" s="38">
        <v>50.526315789473685</v>
      </c>
      <c r="AL60" s="44">
        <v>52.0421052631579</v>
      </c>
      <c r="AM60" s="45">
        <v>54.644210526315796</v>
      </c>
      <c r="AN60" s="438">
        <v>0.03</v>
      </c>
      <c r="AO60" s="433">
        <v>0.05</v>
      </c>
      <c r="AQ60" s="38">
        <v>40</v>
      </c>
      <c r="AR60" s="220">
        <v>39.031578947368423</v>
      </c>
      <c r="AS60" s="221">
        <v>41.893894736842114</v>
      </c>
      <c r="AT60" s="26">
        <v>-2.421052631578946E-2</v>
      </c>
      <c r="AU60" s="28">
        <v>7.3333333333333472E-2</v>
      </c>
      <c r="AW60" s="41">
        <v>21.052631578947398</v>
      </c>
      <c r="AX60" s="25">
        <v>46.666666666666629</v>
      </c>
      <c r="AY60" s="25">
        <v>39.44347826086954</v>
      </c>
      <c r="BA60" s="41">
        <v>252.63157894736841</v>
      </c>
      <c r="BB60" s="25">
        <v>271.83333333333337</v>
      </c>
      <c r="BC60" s="25">
        <v>320.61384782608707</v>
      </c>
      <c r="BE60" s="42">
        <v>147.36842105263159</v>
      </c>
      <c r="BF60" s="25">
        <v>148.16666666666663</v>
      </c>
      <c r="BG60" s="25">
        <v>132.98615217391296</v>
      </c>
      <c r="BI60" s="43">
        <v>421.0526315789474</v>
      </c>
      <c r="BJ60" s="44">
        <v>466.66666666666663</v>
      </c>
      <c r="BK60" s="45">
        <v>493.04347826086956</v>
      </c>
      <c r="BM60" s="450">
        <v>10</v>
      </c>
      <c r="BN60" s="25">
        <v>10.760517799352749</v>
      </c>
      <c r="BO60" s="25">
        <v>10.827353313634443</v>
      </c>
      <c r="BP60" s="26">
        <v>7.6051779935274899E-2</v>
      </c>
      <c r="BQ60" s="28">
        <v>6.2111801242235032E-3</v>
      </c>
      <c r="BR60" s="391">
        <v>2.205071664829107E-3</v>
      </c>
      <c r="BS60" s="392">
        <v>2.2322721813239342E-3</v>
      </c>
      <c r="BT60" s="393">
        <v>2.2741840397721841E-3</v>
      </c>
      <c r="BV60" s="450">
        <v>4000</v>
      </c>
      <c r="BW60" s="468">
        <v>2500</v>
      </c>
      <c r="BX60" s="150">
        <v>-0.375</v>
      </c>
      <c r="BY60" s="450">
        <v>3000</v>
      </c>
      <c r="BZ60" s="47">
        <v>6092.6018739692763</v>
      </c>
      <c r="CA60" s="150">
        <v>1.0308672913230921</v>
      </c>
      <c r="CB60" s="149">
        <v>5</v>
      </c>
      <c r="CC60" s="47">
        <v>4.6402942772719058</v>
      </c>
      <c r="CD60" s="150">
        <v>-7.194114454561884E-2</v>
      </c>
      <c r="CF60" s="474">
        <v>3103.3623917686291</v>
      </c>
      <c r="CG60" s="477">
        <v>45981.486104705182</v>
      </c>
      <c r="CH60" s="234">
        <v>1.7630474988450705E-3</v>
      </c>
      <c r="CI60" s="49">
        <v>10.467647590906349</v>
      </c>
      <c r="CJ60" s="45">
        <v>1392.0521754271651</v>
      </c>
      <c r="CK60" s="249">
        <v>0.7</v>
      </c>
      <c r="CM60" s="214">
        <v>3.0769230769230769E-3</v>
      </c>
      <c r="CN60" s="51">
        <v>2.366873189545109E-3</v>
      </c>
      <c r="CO60" s="226">
        <v>2.2462702905576575</v>
      </c>
    </row>
    <row r="61" spans="2:93" ht="13.5" customHeight="1" outlineLevel="1" x14ac:dyDescent="0.25">
      <c r="B61" s="53"/>
      <c r="C61" s="53"/>
      <c r="D61" s="53"/>
      <c r="E61" s="24" t="s">
        <v>53</v>
      </c>
      <c r="F61" s="451">
        <v>400</v>
      </c>
      <c r="G61" s="54">
        <v>420</v>
      </c>
      <c r="H61" s="54">
        <v>432.6</v>
      </c>
      <c r="I61" s="151"/>
      <c r="J61" s="142"/>
      <c r="K61" s="59">
        <v>0.05</v>
      </c>
      <c r="L61" s="152">
        <v>0.03</v>
      </c>
      <c r="M61" s="394">
        <v>2.7045300878972278E-3</v>
      </c>
      <c r="N61" s="395">
        <v>2.7136165401389113E-3</v>
      </c>
      <c r="O61" s="396">
        <v>2.690410607904683E-3</v>
      </c>
      <c r="P61" s="29"/>
      <c r="Q61" s="458">
        <v>0.65</v>
      </c>
      <c r="R61" s="343">
        <v>0.68250000000000011</v>
      </c>
      <c r="S61" s="356">
        <v>0.68932500000000008</v>
      </c>
      <c r="T61" s="61">
        <v>0.05</v>
      </c>
      <c r="U61" s="37">
        <v>0.01</v>
      </c>
      <c r="W61" s="464">
        <v>0.05</v>
      </c>
      <c r="X61" s="483">
        <v>0.1</v>
      </c>
      <c r="Y61" s="374">
        <v>0.1</v>
      </c>
      <c r="AA61" s="401">
        <v>0.63157894736842102</v>
      </c>
      <c r="AB61" s="395">
        <v>0.64722222222222237</v>
      </c>
      <c r="AC61" s="396">
        <v>0.65480555555555564</v>
      </c>
      <c r="AD61" s="15"/>
      <c r="AE61" s="63">
        <v>42.10526315789474</v>
      </c>
      <c r="AF61" s="62">
        <v>43.368421052631582</v>
      </c>
      <c r="AG61" s="69">
        <v>45.536842105263162</v>
      </c>
      <c r="AH61" s="61">
        <v>0.03</v>
      </c>
      <c r="AI61" s="37">
        <v>0.05</v>
      </c>
      <c r="AJ61" s="15"/>
      <c r="AK61" s="63">
        <v>50.526315789473685</v>
      </c>
      <c r="AL61" s="62">
        <v>52.0421052631579</v>
      </c>
      <c r="AM61" s="69">
        <v>54.644210526315796</v>
      </c>
      <c r="AN61" s="439">
        <v>0.03</v>
      </c>
      <c r="AO61" s="435">
        <v>0.05</v>
      </c>
      <c r="AQ61" s="63">
        <v>40</v>
      </c>
      <c r="AR61" s="64">
        <v>39.031578947368423</v>
      </c>
      <c r="AS61" s="65">
        <v>40.983157894736848</v>
      </c>
      <c r="AT61" s="56">
        <v>-2.421052631578946E-2</v>
      </c>
      <c r="AU61" s="27">
        <v>5.0000000000000044E-2</v>
      </c>
      <c r="AW61" s="66">
        <v>21.052631578947398</v>
      </c>
      <c r="AX61" s="54">
        <v>46.666666666666629</v>
      </c>
      <c r="AY61" s="54">
        <v>48.066666666666663</v>
      </c>
      <c r="BA61" s="66">
        <v>252.63157894736841</v>
      </c>
      <c r="BB61" s="54">
        <v>271.83333333333337</v>
      </c>
      <c r="BC61" s="54">
        <v>283.26888333333341</v>
      </c>
      <c r="BE61" s="67">
        <v>147.36842105263159</v>
      </c>
      <c r="BF61" s="54">
        <v>148.16666666666663</v>
      </c>
      <c r="BG61" s="55">
        <v>149.33111666666662</v>
      </c>
      <c r="BI61" s="68">
        <v>421.0526315789474</v>
      </c>
      <c r="BJ61" s="62">
        <v>466.66666666666663</v>
      </c>
      <c r="BK61" s="69">
        <v>480.66666666666669</v>
      </c>
      <c r="BM61" s="451">
        <v>10</v>
      </c>
      <c r="BN61" s="54">
        <v>10.760517799352749</v>
      </c>
      <c r="BO61" s="55">
        <v>10.555555555555555</v>
      </c>
      <c r="BP61" s="56">
        <v>7.6051779935274899E-2</v>
      </c>
      <c r="BQ61" s="27">
        <v>-1.904761904761898E-2</v>
      </c>
      <c r="BR61" s="394">
        <v>2.205071664829107E-3</v>
      </c>
      <c r="BS61" s="395">
        <v>2.2322721813239342E-3</v>
      </c>
      <c r="BT61" s="396">
        <v>2.2170954692264629E-3</v>
      </c>
      <c r="BV61" s="451">
        <v>4</v>
      </c>
      <c r="BW61" s="469">
        <v>4</v>
      </c>
      <c r="BX61" s="70">
        <v>0</v>
      </c>
      <c r="BY61" s="451">
        <v>4</v>
      </c>
      <c r="BZ61" s="71">
        <v>3096.6018739692763</v>
      </c>
      <c r="CA61" s="70">
        <v>773.15046849231908</v>
      </c>
      <c r="CB61" s="113">
        <v>5</v>
      </c>
      <c r="CC61" s="71">
        <v>4.5238095238095255</v>
      </c>
      <c r="CD61" s="70">
        <v>-9.52380952380949E-2</v>
      </c>
      <c r="CF61" s="475">
        <v>3103.3623917686291</v>
      </c>
      <c r="CG61" s="478">
        <v>45981.486104705182</v>
      </c>
      <c r="CH61" s="235">
        <v>3.4629104824906326E-3</v>
      </c>
      <c r="CI61" s="72">
        <v>10.079365079365081</v>
      </c>
      <c r="CJ61" s="69">
        <v>1505.1628425925924</v>
      </c>
      <c r="CK61" s="250">
        <v>0.7</v>
      </c>
      <c r="CM61" s="215">
        <v>2.5</v>
      </c>
      <c r="CN61" s="216">
        <v>6.94092194789106E-3</v>
      </c>
      <c r="CO61" s="217">
        <v>2.2166666666666663</v>
      </c>
    </row>
    <row r="62" spans="2:93" ht="13.5" customHeight="1" outlineLevel="1" x14ac:dyDescent="0.25">
      <c r="B62" s="53"/>
      <c r="C62" s="53"/>
      <c r="D62" s="53"/>
      <c r="E62" s="24" t="s">
        <v>54</v>
      </c>
      <c r="F62" s="451">
        <v>400</v>
      </c>
      <c r="G62" s="54">
        <v>420</v>
      </c>
      <c r="H62" s="54">
        <v>432.6</v>
      </c>
      <c r="I62" s="151"/>
      <c r="J62" s="142"/>
      <c r="K62" s="59">
        <v>0.05</v>
      </c>
      <c r="L62" s="152">
        <v>0.03</v>
      </c>
      <c r="M62" s="394">
        <v>2.7045300878972278E-3</v>
      </c>
      <c r="N62" s="395">
        <v>2.7136165401389113E-3</v>
      </c>
      <c r="O62" s="396">
        <v>2.690410607904683E-3</v>
      </c>
      <c r="P62" s="29"/>
      <c r="Q62" s="458">
        <v>0.65</v>
      </c>
      <c r="R62" s="343">
        <v>0.68250000000000011</v>
      </c>
      <c r="S62" s="356">
        <v>0.68932500000000008</v>
      </c>
      <c r="T62" s="61">
        <v>0.05</v>
      </c>
      <c r="U62" s="37">
        <v>0.01</v>
      </c>
      <c r="W62" s="464">
        <v>0.05</v>
      </c>
      <c r="X62" s="483">
        <v>0.1</v>
      </c>
      <c r="Y62" s="374">
        <v>0.1</v>
      </c>
      <c r="AA62" s="401">
        <v>0.63157894736842102</v>
      </c>
      <c r="AB62" s="395">
        <v>0.64722222222222237</v>
      </c>
      <c r="AC62" s="396">
        <v>0.65480555555555564</v>
      </c>
      <c r="AD62" s="15"/>
      <c r="AE62" s="63">
        <v>42.10526315789474</v>
      </c>
      <c r="AF62" s="62">
        <v>43.368421052631582</v>
      </c>
      <c r="AG62" s="69">
        <v>45.536842105263162</v>
      </c>
      <c r="AH62" s="61">
        <v>0.03</v>
      </c>
      <c r="AI62" s="37">
        <v>0.05</v>
      </c>
      <c r="AJ62" s="15"/>
      <c r="AK62" s="63">
        <v>50.526315789473685</v>
      </c>
      <c r="AL62" s="62">
        <v>52.0421052631579</v>
      </c>
      <c r="AM62" s="69">
        <v>54.644210526315796</v>
      </c>
      <c r="AN62" s="439">
        <v>0.03</v>
      </c>
      <c r="AO62" s="435">
        <v>0.05</v>
      </c>
      <c r="AQ62" s="63">
        <v>40</v>
      </c>
      <c r="AR62" s="64">
        <v>39.031578947368423</v>
      </c>
      <c r="AS62" s="65">
        <v>40.983157894736848</v>
      </c>
      <c r="AT62" s="56">
        <v>-2.421052631578946E-2</v>
      </c>
      <c r="AU62" s="27">
        <v>5.0000000000000044E-2</v>
      </c>
      <c r="AW62" s="66">
        <v>21.052631578947398</v>
      </c>
      <c r="AX62" s="54">
        <v>46.666666666666629</v>
      </c>
      <c r="AY62" s="54">
        <v>48.066666666666663</v>
      </c>
      <c r="BA62" s="66">
        <v>252.63157894736841</v>
      </c>
      <c r="BB62" s="54">
        <v>271.83333333333337</v>
      </c>
      <c r="BC62" s="54">
        <v>283.26888333333341</v>
      </c>
      <c r="BE62" s="67">
        <v>147.36842105263159</v>
      </c>
      <c r="BF62" s="54">
        <v>148.16666666666663</v>
      </c>
      <c r="BG62" s="55">
        <v>149.33111666666662</v>
      </c>
      <c r="BI62" s="68">
        <v>421.0526315789474</v>
      </c>
      <c r="BJ62" s="62">
        <v>466.66666666666663</v>
      </c>
      <c r="BK62" s="69">
        <v>480.66666666666669</v>
      </c>
      <c r="BM62" s="451">
        <v>10</v>
      </c>
      <c r="BN62" s="54">
        <v>10.760517799352749</v>
      </c>
      <c r="BO62" s="55">
        <v>10.555555555555555</v>
      </c>
      <c r="BP62" s="56">
        <v>7.6051779935274899E-2</v>
      </c>
      <c r="BQ62" s="27">
        <v>-1.904761904761898E-2</v>
      </c>
      <c r="BR62" s="394">
        <v>2.205071664829107E-3</v>
      </c>
      <c r="BS62" s="395">
        <v>2.2322721813239342E-3</v>
      </c>
      <c r="BT62" s="396">
        <v>2.2170954692264629E-3</v>
      </c>
      <c r="BV62" s="451">
        <v>4</v>
      </c>
      <c r="BW62" s="469">
        <v>4</v>
      </c>
      <c r="BX62" s="70">
        <v>0</v>
      </c>
      <c r="BY62" s="451">
        <v>4</v>
      </c>
      <c r="BZ62" s="71">
        <v>3096.6018739692763</v>
      </c>
      <c r="CA62" s="70">
        <v>773.15046849231908</v>
      </c>
      <c r="CB62" s="113">
        <v>5</v>
      </c>
      <c r="CC62" s="71">
        <v>4.5238095238095255</v>
      </c>
      <c r="CD62" s="70">
        <v>-9.52380952380949E-2</v>
      </c>
      <c r="CF62" s="475">
        <v>3103.3623917686291</v>
      </c>
      <c r="CG62" s="478">
        <v>45981.486104705182</v>
      </c>
      <c r="CH62" s="235">
        <v>3.4629104824906326E-3</v>
      </c>
      <c r="CI62" s="72">
        <v>10.079365079365081</v>
      </c>
      <c r="CJ62" s="69">
        <v>1505.1628425925924</v>
      </c>
      <c r="CK62" s="250">
        <v>0.7</v>
      </c>
      <c r="CM62" s="215">
        <v>2.5</v>
      </c>
      <c r="CN62" s="216">
        <v>6.94092194789106E-3</v>
      </c>
      <c r="CO62" s="217">
        <v>2.2166666666666663</v>
      </c>
    </row>
    <row r="63" spans="2:93" ht="13.5" customHeight="1" outlineLevel="1" x14ac:dyDescent="0.25">
      <c r="B63" s="53"/>
      <c r="C63" s="53"/>
      <c r="D63" s="53"/>
      <c r="E63" s="24" t="s">
        <v>55</v>
      </c>
      <c r="F63" s="451">
        <v>400</v>
      </c>
      <c r="G63" s="54">
        <v>420</v>
      </c>
      <c r="H63" s="54">
        <v>432.6</v>
      </c>
      <c r="I63" s="151"/>
      <c r="J63" s="142"/>
      <c r="K63" s="59">
        <v>0.05</v>
      </c>
      <c r="L63" s="152">
        <v>0.03</v>
      </c>
      <c r="M63" s="394">
        <v>2.7045300878972278E-3</v>
      </c>
      <c r="N63" s="395">
        <v>2.7136165401389113E-3</v>
      </c>
      <c r="O63" s="396">
        <v>2.690410607904683E-3</v>
      </c>
      <c r="P63" s="29"/>
      <c r="Q63" s="458">
        <v>0.65</v>
      </c>
      <c r="R63" s="343">
        <v>0.68250000000000011</v>
      </c>
      <c r="S63" s="356">
        <v>0.68932500000000008</v>
      </c>
      <c r="T63" s="61">
        <v>0.05</v>
      </c>
      <c r="U63" s="37">
        <v>0.01</v>
      </c>
      <c r="W63" s="464">
        <v>0.05</v>
      </c>
      <c r="X63" s="483">
        <v>0.1</v>
      </c>
      <c r="Y63" s="374">
        <v>0.1</v>
      </c>
      <c r="AA63" s="401">
        <v>0.63157894736842102</v>
      </c>
      <c r="AB63" s="395">
        <v>0.64722222222222237</v>
      </c>
      <c r="AC63" s="396">
        <v>0.65480555555555564</v>
      </c>
      <c r="AD63" s="15"/>
      <c r="AE63" s="63">
        <v>42.10526315789474</v>
      </c>
      <c r="AF63" s="62">
        <v>43.368421052631582</v>
      </c>
      <c r="AG63" s="69">
        <v>45.536842105263162</v>
      </c>
      <c r="AH63" s="61">
        <v>0.03</v>
      </c>
      <c r="AI63" s="37">
        <v>0.05</v>
      </c>
      <c r="AJ63" s="15"/>
      <c r="AK63" s="63">
        <v>50.526315789473685</v>
      </c>
      <c r="AL63" s="62">
        <v>52.0421052631579</v>
      </c>
      <c r="AM63" s="69">
        <v>54.644210526315796</v>
      </c>
      <c r="AN63" s="439">
        <v>0.03</v>
      </c>
      <c r="AO63" s="435">
        <v>0.05</v>
      </c>
      <c r="AQ63" s="63">
        <v>40</v>
      </c>
      <c r="AR63" s="64">
        <v>39.031578947368423</v>
      </c>
      <c r="AS63" s="65">
        <v>40.983157894736848</v>
      </c>
      <c r="AT63" s="56">
        <v>-2.421052631578946E-2</v>
      </c>
      <c r="AU63" s="27">
        <v>5.0000000000000044E-2</v>
      </c>
      <c r="AW63" s="66">
        <v>21.052631578947398</v>
      </c>
      <c r="AX63" s="54">
        <v>46.666666666666629</v>
      </c>
      <c r="AY63" s="54">
        <v>48.066666666666663</v>
      </c>
      <c r="BA63" s="66">
        <v>252.63157894736841</v>
      </c>
      <c r="BB63" s="54">
        <v>271.83333333333337</v>
      </c>
      <c r="BC63" s="54">
        <v>283.26888333333341</v>
      </c>
      <c r="BE63" s="67">
        <v>147.36842105263159</v>
      </c>
      <c r="BF63" s="54">
        <v>148.16666666666663</v>
      </c>
      <c r="BG63" s="55">
        <v>149.33111666666662</v>
      </c>
      <c r="BI63" s="68">
        <v>421.0526315789474</v>
      </c>
      <c r="BJ63" s="62">
        <v>466.66666666666663</v>
      </c>
      <c r="BK63" s="69">
        <v>480.66666666666669</v>
      </c>
      <c r="BM63" s="451">
        <v>10</v>
      </c>
      <c r="BN63" s="54">
        <v>10.760517799352749</v>
      </c>
      <c r="BO63" s="55">
        <v>10.555555555555555</v>
      </c>
      <c r="BP63" s="56">
        <v>7.6051779935274899E-2</v>
      </c>
      <c r="BQ63" s="27">
        <v>-1.904761904761898E-2</v>
      </c>
      <c r="BR63" s="394">
        <v>2.205071664829107E-3</v>
      </c>
      <c r="BS63" s="395">
        <v>2.2322721813239342E-3</v>
      </c>
      <c r="BT63" s="396">
        <v>2.2170954692264629E-3</v>
      </c>
      <c r="BV63" s="451">
        <v>4</v>
      </c>
      <c r="BW63" s="469">
        <v>4</v>
      </c>
      <c r="BX63" s="70">
        <v>0</v>
      </c>
      <c r="BY63" s="451">
        <v>4</v>
      </c>
      <c r="BZ63" s="71">
        <v>3096.6018739692763</v>
      </c>
      <c r="CA63" s="70">
        <v>773.15046849231908</v>
      </c>
      <c r="CB63" s="113">
        <v>5</v>
      </c>
      <c r="CC63" s="71">
        <v>4.5238095238095255</v>
      </c>
      <c r="CD63" s="70">
        <v>-9.52380952380949E-2</v>
      </c>
      <c r="CF63" s="475">
        <v>3103.3623917686291</v>
      </c>
      <c r="CG63" s="478">
        <v>45981.486104705182</v>
      </c>
      <c r="CH63" s="235">
        <v>3.4629104824906326E-3</v>
      </c>
      <c r="CI63" s="72">
        <v>10.079365079365081</v>
      </c>
      <c r="CJ63" s="69">
        <v>1505.1628425925924</v>
      </c>
      <c r="CK63" s="250">
        <v>0.7</v>
      </c>
      <c r="CM63" s="215">
        <v>2.5</v>
      </c>
      <c r="CN63" s="216">
        <v>6.94092194789106E-3</v>
      </c>
      <c r="CO63" s="217">
        <v>2.2166666666666663</v>
      </c>
    </row>
    <row r="64" spans="2:93" ht="13.5" customHeight="1" outlineLevel="1" x14ac:dyDescent="0.25">
      <c r="B64" s="73"/>
      <c r="C64" s="73"/>
      <c r="D64" s="73"/>
      <c r="E64" s="24" t="s">
        <v>56</v>
      </c>
      <c r="F64" s="452">
        <v>400</v>
      </c>
      <c r="G64" s="74">
        <v>420</v>
      </c>
      <c r="H64" s="74">
        <v>432.6</v>
      </c>
      <c r="I64" s="153"/>
      <c r="J64" s="154"/>
      <c r="K64" s="77">
        <v>0.05</v>
      </c>
      <c r="L64" s="155">
        <v>0.03</v>
      </c>
      <c r="M64" s="397">
        <v>2.7045300878972278E-3</v>
      </c>
      <c r="N64" s="398">
        <v>2.7136165401389113E-3</v>
      </c>
      <c r="O64" s="399">
        <v>2.690410607904683E-3</v>
      </c>
      <c r="P64" s="29"/>
      <c r="Q64" s="459">
        <v>0.65</v>
      </c>
      <c r="R64" s="343">
        <v>0.68250000000000011</v>
      </c>
      <c r="S64" s="356">
        <v>0.68932500000000008</v>
      </c>
      <c r="T64" s="120">
        <v>0.05</v>
      </c>
      <c r="U64" s="79">
        <v>0.01</v>
      </c>
      <c r="W64" s="465">
        <v>0.05</v>
      </c>
      <c r="X64" s="484">
        <v>0.1</v>
      </c>
      <c r="Y64" s="382">
        <v>0.1</v>
      </c>
      <c r="AA64" s="403">
        <v>0.63157894736842102</v>
      </c>
      <c r="AB64" s="398">
        <v>0.64722222222222237</v>
      </c>
      <c r="AC64" s="399">
        <v>0.65480555555555564</v>
      </c>
      <c r="AD64" s="15"/>
      <c r="AE64" s="83">
        <v>42.10526315789474</v>
      </c>
      <c r="AF64" s="62">
        <v>43.368421052631582</v>
      </c>
      <c r="AG64" s="69">
        <v>45.536842105263162</v>
      </c>
      <c r="AH64" s="120">
        <v>0.03</v>
      </c>
      <c r="AI64" s="79">
        <v>0.05</v>
      </c>
      <c r="AJ64" s="15"/>
      <c r="AK64" s="83">
        <v>50.526315789473685</v>
      </c>
      <c r="AL64" s="62">
        <v>52.0421052631579</v>
      </c>
      <c r="AM64" s="69">
        <v>54.644210526315796</v>
      </c>
      <c r="AN64" s="440">
        <v>0.03</v>
      </c>
      <c r="AO64" s="437">
        <v>0.05</v>
      </c>
      <c r="AQ64" s="83">
        <v>40</v>
      </c>
      <c r="AR64" s="64">
        <v>39.031578947368423</v>
      </c>
      <c r="AS64" s="65">
        <v>40.983157894736848</v>
      </c>
      <c r="AT64" s="80">
        <v>-2.421052631578946E-2</v>
      </c>
      <c r="AU64" s="81">
        <v>5.0000000000000044E-2</v>
      </c>
      <c r="AW64" s="86">
        <v>21.052631578947398</v>
      </c>
      <c r="AX64" s="74">
        <v>46.666666666666629</v>
      </c>
      <c r="AY64" s="74">
        <v>48.066666666666663</v>
      </c>
      <c r="BA64" s="86">
        <v>252.63157894736841</v>
      </c>
      <c r="BB64" s="74">
        <v>271.83333333333337</v>
      </c>
      <c r="BC64" s="74">
        <v>283.26888333333341</v>
      </c>
      <c r="BE64" s="87">
        <v>147.36842105263159</v>
      </c>
      <c r="BF64" s="74">
        <v>148.16666666666663</v>
      </c>
      <c r="BG64" s="75">
        <v>149.33111666666662</v>
      </c>
      <c r="BI64" s="121">
        <v>421.0526315789474</v>
      </c>
      <c r="BJ64" s="82">
        <v>466.66666666666663</v>
      </c>
      <c r="BK64" s="122">
        <v>480.66666666666669</v>
      </c>
      <c r="BM64" s="452">
        <v>10</v>
      </c>
      <c r="BN64" s="74">
        <v>10.760517799352749</v>
      </c>
      <c r="BO64" s="75">
        <v>10.555555555555555</v>
      </c>
      <c r="BP64" s="80">
        <v>7.6051779935274899E-2</v>
      </c>
      <c r="BQ64" s="81">
        <v>-1.904761904761898E-2</v>
      </c>
      <c r="BR64" s="397">
        <v>2.205071664829107E-3</v>
      </c>
      <c r="BS64" s="398">
        <v>2.2322721813239342E-3</v>
      </c>
      <c r="BT64" s="399">
        <v>2.2170954692264629E-3</v>
      </c>
      <c r="BV64" s="452">
        <v>4</v>
      </c>
      <c r="BW64" s="469">
        <v>4</v>
      </c>
      <c r="BX64" s="70">
        <v>0</v>
      </c>
      <c r="BY64" s="452">
        <v>4</v>
      </c>
      <c r="BZ64" s="71">
        <v>3096.6018739692763</v>
      </c>
      <c r="CA64" s="70">
        <v>773.15046849231908</v>
      </c>
      <c r="CB64" s="113">
        <v>5</v>
      </c>
      <c r="CC64" s="71">
        <v>4.5238095238095255</v>
      </c>
      <c r="CD64" s="70">
        <v>-9.52380952380949E-2</v>
      </c>
      <c r="CF64" s="476">
        <v>3103.3623917686291</v>
      </c>
      <c r="CG64" s="479">
        <v>45981.486104705182</v>
      </c>
      <c r="CH64" s="236">
        <v>3.4629104824906326E-3</v>
      </c>
      <c r="CI64" s="125">
        <v>10.079365079365081</v>
      </c>
      <c r="CJ64" s="122">
        <v>1505.1628425925924</v>
      </c>
      <c r="CK64" s="251">
        <v>0.7</v>
      </c>
      <c r="CM64" s="231">
        <v>2.5</v>
      </c>
      <c r="CN64" s="232">
        <v>6.94092194789106E-3</v>
      </c>
      <c r="CO64" s="233">
        <v>2.2166666666666663</v>
      </c>
    </row>
    <row r="65" spans="2:93" ht="13.5" customHeight="1" x14ac:dyDescent="0.25">
      <c r="B65" s="540" t="s">
        <v>57</v>
      </c>
      <c r="C65" s="540"/>
      <c r="D65" s="540"/>
      <c r="E65" s="540"/>
      <c r="F65" s="88">
        <v>2000</v>
      </c>
      <c r="G65" s="89">
        <v>2100</v>
      </c>
      <c r="H65" s="90">
        <v>2184</v>
      </c>
      <c r="I65" s="90"/>
      <c r="J65" s="92"/>
      <c r="K65" s="92">
        <v>5.0000000000000044E-2</v>
      </c>
      <c r="L65" s="92">
        <v>4.0000000000000036E-2</v>
      </c>
      <c r="M65" s="366">
        <v>1.3522650439486139E-2</v>
      </c>
      <c r="N65" s="367">
        <v>1.3568082700694557E-2</v>
      </c>
      <c r="O65" s="94">
        <v>1.3582655496217816E-2</v>
      </c>
      <c r="P65" s="29"/>
      <c r="Q65" s="345">
        <v>0.68157894736842117</v>
      </c>
      <c r="R65" s="346">
        <v>0.74722222222222223</v>
      </c>
      <c r="S65" s="349">
        <v>0.76152671553251017</v>
      </c>
      <c r="T65" s="93">
        <v>9.631059631059613E-2</v>
      </c>
      <c r="U65" s="92">
        <v>1.9143559820459677E-2</v>
      </c>
      <c r="V65" s="13"/>
      <c r="W65" s="375">
        <v>5.0000000000000121E-2</v>
      </c>
      <c r="X65" s="376">
        <v>9.9999999999999881E-2</v>
      </c>
      <c r="Y65" s="377">
        <v>9.5918024525449438E-2</v>
      </c>
      <c r="AA65" s="366">
        <v>0.63157894736842102</v>
      </c>
      <c r="AB65" s="367">
        <v>0.64722222222222237</v>
      </c>
      <c r="AC65" s="94">
        <v>0.66560869100706077</v>
      </c>
      <c r="AD65" s="15"/>
      <c r="AE65" s="95">
        <v>42.10526315789474</v>
      </c>
      <c r="AF65" s="96">
        <v>43.368421052631582</v>
      </c>
      <c r="AG65" s="99">
        <v>45.536842105263162</v>
      </c>
      <c r="AH65" s="93">
        <v>3.0000000000000027E-2</v>
      </c>
      <c r="AI65" s="92">
        <v>5.0000000000000044E-2</v>
      </c>
      <c r="AJ65" s="15"/>
      <c r="AK65" s="95">
        <v>50.526315789473685</v>
      </c>
      <c r="AL65" s="96">
        <v>52.0421052631579</v>
      </c>
      <c r="AM65" s="99">
        <v>54.644210526315796</v>
      </c>
      <c r="AN65" s="93">
        <v>3.0000000000000027E-2</v>
      </c>
      <c r="AO65" s="92">
        <v>5.0000000000000044E-2</v>
      </c>
      <c r="AQ65" s="95">
        <v>40</v>
      </c>
      <c r="AR65" s="96">
        <v>39.03157894736843</v>
      </c>
      <c r="AS65" s="99">
        <v>41.169038167399009</v>
      </c>
      <c r="AT65" s="91">
        <v>-2.4210526315789238E-2</v>
      </c>
      <c r="AU65" s="92">
        <v>5.4762304720308741E-2</v>
      </c>
      <c r="AW65" s="88">
        <v>105.26315789473699</v>
      </c>
      <c r="AX65" s="89">
        <v>233.33333333333314</v>
      </c>
      <c r="AY65" s="90">
        <v>231.71014492753619</v>
      </c>
      <c r="BA65" s="88">
        <v>1263.1578947368421</v>
      </c>
      <c r="BB65" s="89">
        <v>1359.166666666667</v>
      </c>
      <c r="BC65" s="90">
        <v>1453.6893811594207</v>
      </c>
      <c r="BE65" s="88">
        <v>736.84210526315792</v>
      </c>
      <c r="BF65" s="89">
        <v>740.83333333333314</v>
      </c>
      <c r="BG65" s="90">
        <v>730.31061884057942</v>
      </c>
      <c r="BI65" s="100">
        <v>2105.2631578947371</v>
      </c>
      <c r="BJ65" s="101">
        <v>2333.333333333333</v>
      </c>
      <c r="BK65" s="102">
        <v>2415.7101449275365</v>
      </c>
      <c r="BM65" s="88">
        <v>50</v>
      </c>
      <c r="BN65" s="89">
        <v>53.802588996763745</v>
      </c>
      <c r="BO65" s="90">
        <v>53.049575535856668</v>
      </c>
      <c r="BP65" s="91">
        <v>7.6051779935274899E-2</v>
      </c>
      <c r="BQ65" s="92">
        <v>-1.3995859213250306E-2</v>
      </c>
      <c r="BR65" s="366">
        <v>1.1025358324145534E-2</v>
      </c>
      <c r="BS65" s="367">
        <v>1.116136090661967E-2</v>
      </c>
      <c r="BT65" s="94">
        <v>1.1142565916678036E-2</v>
      </c>
      <c r="BV65" s="88">
        <v>4016</v>
      </c>
      <c r="BW65" s="282">
        <v>2516</v>
      </c>
      <c r="BX65" s="103">
        <v>-0.37350597609561753</v>
      </c>
      <c r="BY65" s="88">
        <v>3016</v>
      </c>
      <c r="BZ65" s="282">
        <v>18479.009369846382</v>
      </c>
      <c r="CA65" s="103">
        <v>5.1269924966334157</v>
      </c>
      <c r="CB65" s="282">
        <v>25</v>
      </c>
      <c r="CC65" s="282">
        <v>22.735532372510008</v>
      </c>
      <c r="CD65" s="103">
        <v>-9.0578705099599643E-2</v>
      </c>
      <c r="CF65" s="115">
        <v>15516.811958843145</v>
      </c>
      <c r="CG65" s="102">
        <v>229907.43052352592</v>
      </c>
      <c r="CH65" s="252">
        <v>2.9030990610732017E-3</v>
      </c>
      <c r="CI65" s="115">
        <v>50.785107908366676</v>
      </c>
      <c r="CJ65" s="102">
        <v>7412.7035457975344</v>
      </c>
      <c r="CK65" s="308">
        <v>0.69999999999999984</v>
      </c>
      <c r="CM65" s="290">
        <v>1.5309246785058175E-2</v>
      </c>
      <c r="CN65" s="291">
        <v>5.0060540166350486E-3</v>
      </c>
      <c r="CO65" s="292">
        <v>2.2226451827069984</v>
      </c>
    </row>
    <row r="66" spans="2:93" ht="13.5" customHeight="1" outlineLevel="1" x14ac:dyDescent="0.25">
      <c r="B66" s="23" t="s">
        <v>50</v>
      </c>
      <c r="C66" s="23" t="s">
        <v>23</v>
      </c>
      <c r="D66" s="23" t="s">
        <v>58</v>
      </c>
      <c r="E66" s="24" t="s">
        <v>59</v>
      </c>
      <c r="F66" s="450">
        <v>400</v>
      </c>
      <c r="G66" s="25">
        <v>420</v>
      </c>
      <c r="H66" s="30">
        <v>432.6</v>
      </c>
      <c r="I66" s="106"/>
      <c r="J66" s="107"/>
      <c r="K66" s="108">
        <v>0.05</v>
      </c>
      <c r="L66" s="108">
        <v>0.03</v>
      </c>
      <c r="M66" s="391">
        <v>2.7045300878972278E-3</v>
      </c>
      <c r="N66" s="392">
        <v>2.7136165401389113E-3</v>
      </c>
      <c r="O66" s="393">
        <v>2.690410607904683E-3</v>
      </c>
      <c r="Q66" s="457">
        <v>0.65</v>
      </c>
      <c r="R66" s="343">
        <v>0.68250000000000011</v>
      </c>
      <c r="S66" s="356">
        <v>0.68932500000000008</v>
      </c>
      <c r="T66" s="36">
        <v>0.05</v>
      </c>
      <c r="U66" s="35">
        <v>0.01</v>
      </c>
      <c r="V66" s="29"/>
      <c r="W66" s="463">
        <v>0.05</v>
      </c>
      <c r="X66" s="482">
        <v>0.1</v>
      </c>
      <c r="Y66" s="378">
        <v>0.1</v>
      </c>
      <c r="AA66" s="400">
        <v>0.63157894736842102</v>
      </c>
      <c r="AB66" s="392">
        <v>0.64722222222222237</v>
      </c>
      <c r="AC66" s="393">
        <v>0.65480555555555564</v>
      </c>
      <c r="AD66" s="15"/>
      <c r="AE66" s="38">
        <v>42.10526315789474</v>
      </c>
      <c r="AF66" s="62">
        <v>43.368421052631582</v>
      </c>
      <c r="AG66" s="69">
        <v>45.536842105263162</v>
      </c>
      <c r="AH66" s="36">
        <v>0.03</v>
      </c>
      <c r="AI66" s="35">
        <v>0.05</v>
      </c>
      <c r="AJ66" s="15"/>
      <c r="AK66" s="38">
        <v>50.526315789473685</v>
      </c>
      <c r="AL66" s="62">
        <v>52.0421052631579</v>
      </c>
      <c r="AM66" s="69">
        <v>54.644210526315796</v>
      </c>
      <c r="AN66" s="438">
        <v>0.03</v>
      </c>
      <c r="AO66" s="433">
        <v>0.05</v>
      </c>
      <c r="AQ66" s="38">
        <v>40</v>
      </c>
      <c r="AR66" s="64">
        <v>39.031578947368423</v>
      </c>
      <c r="AS66" s="65">
        <v>40.983157894736848</v>
      </c>
      <c r="AT66" s="26">
        <v>-2.421052631578946E-2</v>
      </c>
      <c r="AU66" s="28">
        <v>5.0000000000000044E-2</v>
      </c>
      <c r="AW66" s="41">
        <v>21.052631578947398</v>
      </c>
      <c r="AX66" s="25">
        <v>46.666666666666629</v>
      </c>
      <c r="AY66" s="30">
        <v>48.066666666666663</v>
      </c>
      <c r="BA66" s="41">
        <v>252.63157894736841</v>
      </c>
      <c r="BB66" s="25">
        <v>271.83333333333337</v>
      </c>
      <c r="BC66" s="30">
        <v>283.26888333333341</v>
      </c>
      <c r="BE66" s="42">
        <v>147.36842105263159</v>
      </c>
      <c r="BF66" s="25">
        <v>148.16666666666663</v>
      </c>
      <c r="BG66" s="30">
        <v>149.33111666666662</v>
      </c>
      <c r="BI66" s="43">
        <v>421.0526315789474</v>
      </c>
      <c r="BJ66" s="44">
        <v>466.66666666666663</v>
      </c>
      <c r="BK66" s="45">
        <v>480.66666666666669</v>
      </c>
      <c r="BM66" s="450">
        <v>10</v>
      </c>
      <c r="BN66" s="25">
        <v>10.760517799352749</v>
      </c>
      <c r="BO66" s="30">
        <v>10.555555555555555</v>
      </c>
      <c r="BP66" s="26">
        <v>7.6051779935274899E-2</v>
      </c>
      <c r="BQ66" s="28">
        <v>-1.904761904761898E-2</v>
      </c>
      <c r="BR66" s="391">
        <v>2.205071664829107E-3</v>
      </c>
      <c r="BS66" s="392">
        <v>2.2322721813239342E-3</v>
      </c>
      <c r="BT66" s="393">
        <v>2.2170954692264629E-3</v>
      </c>
      <c r="BV66" s="450">
        <v>4</v>
      </c>
      <c r="BW66" s="470">
        <v>4</v>
      </c>
      <c r="BX66" s="46">
        <v>0</v>
      </c>
      <c r="BY66" s="450">
        <v>4</v>
      </c>
      <c r="BZ66" s="243">
        <v>3096.6018739692763</v>
      </c>
      <c r="CA66" s="46">
        <v>773.15046849231908</v>
      </c>
      <c r="CB66" s="109">
        <v>5</v>
      </c>
      <c r="CC66" s="243">
        <v>4.5238095238095255</v>
      </c>
      <c r="CD66" s="46">
        <v>-9.52380952380949E-2</v>
      </c>
      <c r="CF66" s="474">
        <v>3103.3623917686291</v>
      </c>
      <c r="CG66" s="477">
        <v>45981.486104705182</v>
      </c>
      <c r="CH66" s="234">
        <v>3.4629104824906326E-3</v>
      </c>
      <c r="CI66" s="49">
        <v>10.079365079365081</v>
      </c>
      <c r="CJ66" s="45">
        <v>1505.1628425925924</v>
      </c>
      <c r="CK66" s="249">
        <v>0.7</v>
      </c>
      <c r="CM66" s="214">
        <v>2.5</v>
      </c>
      <c r="CN66" s="51">
        <v>6.94092194789106E-3</v>
      </c>
      <c r="CO66" s="226">
        <v>2.2166666666666663</v>
      </c>
    </row>
    <row r="67" spans="2:93" ht="13.5" customHeight="1" outlineLevel="1" x14ac:dyDescent="0.25">
      <c r="B67" s="53"/>
      <c r="C67" s="53"/>
      <c r="D67" s="53"/>
      <c r="E67" s="24" t="s">
        <v>60</v>
      </c>
      <c r="F67" s="451">
        <v>400</v>
      </c>
      <c r="G67" s="54">
        <v>420</v>
      </c>
      <c r="H67" s="55">
        <v>432.6</v>
      </c>
      <c r="I67" s="110"/>
      <c r="J67" s="111"/>
      <c r="K67" s="112">
        <v>0.05</v>
      </c>
      <c r="L67" s="112">
        <v>0.03</v>
      </c>
      <c r="M67" s="394">
        <v>2.7045300878972278E-3</v>
      </c>
      <c r="N67" s="395">
        <v>2.7136165401389113E-3</v>
      </c>
      <c r="O67" s="396">
        <v>2.690410607904683E-3</v>
      </c>
      <c r="P67" s="29"/>
      <c r="Q67" s="458">
        <v>0.65</v>
      </c>
      <c r="R67" s="343">
        <v>0.68250000000000011</v>
      </c>
      <c r="S67" s="356">
        <v>0.68932500000000008</v>
      </c>
      <c r="T67" s="61">
        <v>0.05</v>
      </c>
      <c r="U67" s="37">
        <v>0.01</v>
      </c>
      <c r="W67" s="464">
        <v>0.05</v>
      </c>
      <c r="X67" s="483">
        <v>0.1</v>
      </c>
      <c r="Y67" s="374">
        <v>0.1</v>
      </c>
      <c r="AA67" s="401">
        <v>0.63157894736842102</v>
      </c>
      <c r="AB67" s="395">
        <v>0.64722222222222237</v>
      </c>
      <c r="AC67" s="396">
        <v>0.65480555555555564</v>
      </c>
      <c r="AD67" s="15"/>
      <c r="AE67" s="63">
        <v>42.10526315789474</v>
      </c>
      <c r="AF67" s="62">
        <v>43.368421052631582</v>
      </c>
      <c r="AG67" s="69">
        <v>45.536842105263162</v>
      </c>
      <c r="AH67" s="61">
        <v>0.03</v>
      </c>
      <c r="AI67" s="37">
        <v>0.05</v>
      </c>
      <c r="AJ67" s="15"/>
      <c r="AK67" s="63">
        <v>50.526315789473685</v>
      </c>
      <c r="AL67" s="62">
        <v>52.0421052631579</v>
      </c>
      <c r="AM67" s="69">
        <v>54.644210526315796</v>
      </c>
      <c r="AN67" s="439">
        <v>0.03</v>
      </c>
      <c r="AO67" s="435">
        <v>0.05</v>
      </c>
      <c r="AQ67" s="63">
        <v>40</v>
      </c>
      <c r="AR67" s="64">
        <v>39.031578947368423</v>
      </c>
      <c r="AS67" s="65">
        <v>40.983157894736848</v>
      </c>
      <c r="AT67" s="56">
        <v>-2.421052631578946E-2</v>
      </c>
      <c r="AU67" s="27">
        <v>5.0000000000000044E-2</v>
      </c>
      <c r="AW67" s="66">
        <v>21.052631578947398</v>
      </c>
      <c r="AX67" s="54">
        <v>46.666666666666629</v>
      </c>
      <c r="AY67" s="55">
        <v>48.066666666666663</v>
      </c>
      <c r="BA67" s="66">
        <v>252.63157894736841</v>
      </c>
      <c r="BB67" s="54">
        <v>271.83333333333337</v>
      </c>
      <c r="BC67" s="55">
        <v>283.26888333333341</v>
      </c>
      <c r="BE67" s="67">
        <v>147.36842105263159</v>
      </c>
      <c r="BF67" s="54">
        <v>148.16666666666663</v>
      </c>
      <c r="BG67" s="55">
        <v>149.33111666666662</v>
      </c>
      <c r="BI67" s="68">
        <v>421.0526315789474</v>
      </c>
      <c r="BJ67" s="62">
        <v>466.66666666666663</v>
      </c>
      <c r="BK67" s="69">
        <v>480.66666666666669</v>
      </c>
      <c r="BM67" s="451">
        <v>10</v>
      </c>
      <c r="BN67" s="54">
        <v>10.760517799352749</v>
      </c>
      <c r="BO67" s="55">
        <v>10.555555555555555</v>
      </c>
      <c r="BP67" s="56">
        <v>7.6051779935274899E-2</v>
      </c>
      <c r="BQ67" s="27">
        <v>-1.904761904761898E-2</v>
      </c>
      <c r="BR67" s="394">
        <v>2.205071664829107E-3</v>
      </c>
      <c r="BS67" s="395">
        <v>2.2322721813239342E-3</v>
      </c>
      <c r="BT67" s="396">
        <v>2.2170954692264629E-3</v>
      </c>
      <c r="BV67" s="451">
        <v>4</v>
      </c>
      <c r="BW67" s="469">
        <v>4</v>
      </c>
      <c r="BX67" s="70">
        <v>0</v>
      </c>
      <c r="BY67" s="451">
        <v>4</v>
      </c>
      <c r="BZ67" s="71">
        <v>3096.6018739692763</v>
      </c>
      <c r="CA67" s="70">
        <v>773.15046849231908</v>
      </c>
      <c r="CB67" s="113">
        <v>5</v>
      </c>
      <c r="CC67" s="71">
        <v>4.5238095238095255</v>
      </c>
      <c r="CD67" s="70">
        <v>-9.52380952380949E-2</v>
      </c>
      <c r="CF67" s="475">
        <v>3103.3623917686291</v>
      </c>
      <c r="CG67" s="478">
        <v>45981.486104705182</v>
      </c>
      <c r="CH67" s="235">
        <v>3.4629104824906326E-3</v>
      </c>
      <c r="CI67" s="72">
        <v>10.079365079365081</v>
      </c>
      <c r="CJ67" s="69">
        <v>1505.1628425925924</v>
      </c>
      <c r="CK67" s="250">
        <v>0.7</v>
      </c>
      <c r="CM67" s="215">
        <v>2.5</v>
      </c>
      <c r="CN67" s="216">
        <v>6.94092194789106E-3</v>
      </c>
      <c r="CO67" s="217">
        <v>2.2166666666666663</v>
      </c>
    </row>
    <row r="68" spans="2:93" ht="13.5" customHeight="1" outlineLevel="1" x14ac:dyDescent="0.25">
      <c r="B68" s="53"/>
      <c r="C68" s="53"/>
      <c r="D68" s="53"/>
      <c r="E68" s="24" t="s">
        <v>61</v>
      </c>
      <c r="F68" s="451">
        <v>400</v>
      </c>
      <c r="G68" s="54">
        <v>420</v>
      </c>
      <c r="H68" s="55">
        <v>432.6</v>
      </c>
      <c r="I68" s="110"/>
      <c r="J68" s="111"/>
      <c r="K68" s="112">
        <v>0.05</v>
      </c>
      <c r="L68" s="112">
        <v>0.03</v>
      </c>
      <c r="M68" s="394">
        <v>2.7045300878972278E-3</v>
      </c>
      <c r="N68" s="395">
        <v>2.7136165401389113E-3</v>
      </c>
      <c r="O68" s="396">
        <v>2.690410607904683E-3</v>
      </c>
      <c r="P68" s="29"/>
      <c r="Q68" s="458">
        <v>0.65</v>
      </c>
      <c r="R68" s="343">
        <v>0.68250000000000011</v>
      </c>
      <c r="S68" s="356">
        <v>0.68932500000000008</v>
      </c>
      <c r="T68" s="61">
        <v>0.05</v>
      </c>
      <c r="U68" s="37">
        <v>0.01</v>
      </c>
      <c r="W68" s="464">
        <v>0.05</v>
      </c>
      <c r="X68" s="483">
        <v>0.1</v>
      </c>
      <c r="Y68" s="374">
        <v>0.1</v>
      </c>
      <c r="AA68" s="401">
        <v>0.63157894736842102</v>
      </c>
      <c r="AB68" s="395">
        <v>0.64722222222222237</v>
      </c>
      <c r="AC68" s="396">
        <v>0.65480555555555564</v>
      </c>
      <c r="AD68" s="15"/>
      <c r="AE68" s="63">
        <v>42.10526315789474</v>
      </c>
      <c r="AF68" s="62">
        <v>43.368421052631582</v>
      </c>
      <c r="AG68" s="69">
        <v>45.536842105263162</v>
      </c>
      <c r="AH68" s="61">
        <v>0.03</v>
      </c>
      <c r="AI68" s="37">
        <v>0.05</v>
      </c>
      <c r="AJ68" s="15"/>
      <c r="AK68" s="63">
        <v>50.526315789473685</v>
      </c>
      <c r="AL68" s="62">
        <v>52.0421052631579</v>
      </c>
      <c r="AM68" s="69">
        <v>54.644210526315796</v>
      </c>
      <c r="AN68" s="439">
        <v>0.03</v>
      </c>
      <c r="AO68" s="435">
        <v>0.05</v>
      </c>
      <c r="AQ68" s="63">
        <v>40</v>
      </c>
      <c r="AR68" s="64">
        <v>39.031578947368423</v>
      </c>
      <c r="AS68" s="65">
        <v>40.983157894736848</v>
      </c>
      <c r="AT68" s="56">
        <v>-2.421052631578946E-2</v>
      </c>
      <c r="AU68" s="27">
        <v>5.0000000000000044E-2</v>
      </c>
      <c r="AW68" s="66">
        <v>21.052631578947398</v>
      </c>
      <c r="AX68" s="54">
        <v>46.666666666666629</v>
      </c>
      <c r="AY68" s="55">
        <v>48.066666666666663</v>
      </c>
      <c r="BA68" s="66">
        <v>252.63157894736841</v>
      </c>
      <c r="BB68" s="54">
        <v>271.83333333333337</v>
      </c>
      <c r="BC68" s="55">
        <v>283.26888333333341</v>
      </c>
      <c r="BE68" s="67">
        <v>147.36842105263159</v>
      </c>
      <c r="BF68" s="54">
        <v>148.16666666666663</v>
      </c>
      <c r="BG68" s="55">
        <v>149.33111666666662</v>
      </c>
      <c r="BI68" s="68">
        <v>421.0526315789474</v>
      </c>
      <c r="BJ68" s="62">
        <v>466.66666666666663</v>
      </c>
      <c r="BK68" s="69">
        <v>480.66666666666669</v>
      </c>
      <c r="BM68" s="451">
        <v>10</v>
      </c>
      <c r="BN68" s="54">
        <v>10.760517799352749</v>
      </c>
      <c r="BO68" s="55">
        <v>10.555555555555555</v>
      </c>
      <c r="BP68" s="56">
        <v>7.6051779935274899E-2</v>
      </c>
      <c r="BQ68" s="27">
        <v>-1.904761904761898E-2</v>
      </c>
      <c r="BR68" s="394">
        <v>2.205071664829107E-3</v>
      </c>
      <c r="BS68" s="395">
        <v>2.2322721813239342E-3</v>
      </c>
      <c r="BT68" s="396">
        <v>2.2170954692264629E-3</v>
      </c>
      <c r="BV68" s="451">
        <v>4</v>
      </c>
      <c r="BW68" s="469">
        <v>4</v>
      </c>
      <c r="BX68" s="70">
        <v>0</v>
      </c>
      <c r="BY68" s="451">
        <v>4</v>
      </c>
      <c r="BZ68" s="71">
        <v>3096.6018739692763</v>
      </c>
      <c r="CA68" s="70">
        <v>773.15046849231908</v>
      </c>
      <c r="CB68" s="113">
        <v>5</v>
      </c>
      <c r="CC68" s="71">
        <v>4.5238095238095255</v>
      </c>
      <c r="CD68" s="70">
        <v>-9.52380952380949E-2</v>
      </c>
      <c r="CF68" s="475">
        <v>3103.3623917686291</v>
      </c>
      <c r="CG68" s="478">
        <v>45981.486104705182</v>
      </c>
      <c r="CH68" s="235">
        <v>3.4629104824906326E-3</v>
      </c>
      <c r="CI68" s="72">
        <v>10.079365079365081</v>
      </c>
      <c r="CJ68" s="69">
        <v>1505.1628425925924</v>
      </c>
      <c r="CK68" s="250">
        <v>0.7</v>
      </c>
      <c r="CM68" s="215">
        <v>2.5</v>
      </c>
      <c r="CN68" s="216">
        <v>6.94092194789106E-3</v>
      </c>
      <c r="CO68" s="217">
        <v>2.2166666666666663</v>
      </c>
    </row>
    <row r="69" spans="2:93" ht="13.5" customHeight="1" outlineLevel="1" x14ac:dyDescent="0.25">
      <c r="B69" s="53"/>
      <c r="C69" s="53"/>
      <c r="D69" s="53"/>
      <c r="E69" s="24" t="s">
        <v>62</v>
      </c>
      <c r="F69" s="451">
        <v>400</v>
      </c>
      <c r="G69" s="54">
        <v>420</v>
      </c>
      <c r="H69" s="55">
        <v>432.6</v>
      </c>
      <c r="I69" s="110"/>
      <c r="J69" s="111"/>
      <c r="K69" s="112">
        <v>0.05</v>
      </c>
      <c r="L69" s="112">
        <v>0.03</v>
      </c>
      <c r="M69" s="394">
        <v>2.7045300878972278E-3</v>
      </c>
      <c r="N69" s="395">
        <v>2.7136165401389113E-3</v>
      </c>
      <c r="O69" s="396">
        <v>2.690410607904683E-3</v>
      </c>
      <c r="P69" s="114"/>
      <c r="Q69" s="458">
        <v>0.65</v>
      </c>
      <c r="R69" s="343">
        <v>0.68250000000000011</v>
      </c>
      <c r="S69" s="356">
        <v>0.68932500000000008</v>
      </c>
      <c r="T69" s="61">
        <v>0.05</v>
      </c>
      <c r="U69" s="37">
        <v>0.01</v>
      </c>
      <c r="W69" s="464">
        <v>0.05</v>
      </c>
      <c r="X69" s="483">
        <v>0.1</v>
      </c>
      <c r="Y69" s="374">
        <v>0.1</v>
      </c>
      <c r="AA69" s="401">
        <v>0.63157894736842102</v>
      </c>
      <c r="AB69" s="395">
        <v>0.64722222222222237</v>
      </c>
      <c r="AC69" s="396">
        <v>0.65480555555555564</v>
      </c>
      <c r="AD69" s="15"/>
      <c r="AE69" s="63">
        <v>42.10526315789474</v>
      </c>
      <c r="AF69" s="62">
        <v>43.368421052631582</v>
      </c>
      <c r="AG69" s="69">
        <v>45.536842105263162</v>
      </c>
      <c r="AH69" s="61">
        <v>0.03</v>
      </c>
      <c r="AI69" s="37">
        <v>0.05</v>
      </c>
      <c r="AJ69" s="15"/>
      <c r="AK69" s="63">
        <v>50.526315789473685</v>
      </c>
      <c r="AL69" s="62">
        <v>52.0421052631579</v>
      </c>
      <c r="AM69" s="69">
        <v>54.644210526315796</v>
      </c>
      <c r="AN69" s="439">
        <v>0.03</v>
      </c>
      <c r="AO69" s="435">
        <v>0.05</v>
      </c>
      <c r="AQ69" s="63">
        <v>40</v>
      </c>
      <c r="AR69" s="64">
        <v>39.031578947368423</v>
      </c>
      <c r="AS69" s="65">
        <v>40.983157894736848</v>
      </c>
      <c r="AT69" s="56">
        <v>-2.421052631578946E-2</v>
      </c>
      <c r="AU69" s="27">
        <v>5.0000000000000044E-2</v>
      </c>
      <c r="AW69" s="66">
        <v>21.052631578947398</v>
      </c>
      <c r="AX69" s="54">
        <v>46.666666666666629</v>
      </c>
      <c r="AY69" s="55">
        <v>48.066666666666663</v>
      </c>
      <c r="BA69" s="66">
        <v>252.63157894736841</v>
      </c>
      <c r="BB69" s="54">
        <v>271.83333333333337</v>
      </c>
      <c r="BC69" s="55">
        <v>283.26888333333341</v>
      </c>
      <c r="BE69" s="67">
        <v>147.36842105263159</v>
      </c>
      <c r="BF69" s="54">
        <v>148.16666666666663</v>
      </c>
      <c r="BG69" s="55">
        <v>149.33111666666662</v>
      </c>
      <c r="BI69" s="68">
        <v>421.0526315789474</v>
      </c>
      <c r="BJ69" s="62">
        <v>466.66666666666663</v>
      </c>
      <c r="BK69" s="69">
        <v>480.66666666666669</v>
      </c>
      <c r="BM69" s="451">
        <v>10</v>
      </c>
      <c r="BN69" s="54">
        <v>10.760517799352749</v>
      </c>
      <c r="BO69" s="55">
        <v>10.555555555555555</v>
      </c>
      <c r="BP69" s="56">
        <v>7.6051779935274899E-2</v>
      </c>
      <c r="BQ69" s="27">
        <v>-1.904761904761898E-2</v>
      </c>
      <c r="BR69" s="394">
        <v>2.205071664829107E-3</v>
      </c>
      <c r="BS69" s="395">
        <v>2.2322721813239342E-3</v>
      </c>
      <c r="BT69" s="396">
        <v>2.2170954692264629E-3</v>
      </c>
      <c r="BV69" s="451">
        <v>4</v>
      </c>
      <c r="BW69" s="469">
        <v>4</v>
      </c>
      <c r="BX69" s="70">
        <v>0</v>
      </c>
      <c r="BY69" s="451">
        <v>4</v>
      </c>
      <c r="BZ69" s="71">
        <v>3096.6018739692763</v>
      </c>
      <c r="CA69" s="70">
        <v>773.15046849231908</v>
      </c>
      <c r="CB69" s="113">
        <v>5</v>
      </c>
      <c r="CC69" s="71">
        <v>4.5238095238095255</v>
      </c>
      <c r="CD69" s="70">
        <v>-9.52380952380949E-2</v>
      </c>
      <c r="CF69" s="475">
        <v>3103.3623917686291</v>
      </c>
      <c r="CG69" s="478">
        <v>45981.486104705182</v>
      </c>
      <c r="CH69" s="235">
        <v>3.4629104824906326E-3</v>
      </c>
      <c r="CI69" s="72">
        <v>10.079365079365081</v>
      </c>
      <c r="CJ69" s="69">
        <v>1505.1628425925924</v>
      </c>
      <c r="CK69" s="250">
        <v>0.7</v>
      </c>
      <c r="CM69" s="215">
        <v>2.5</v>
      </c>
      <c r="CN69" s="216">
        <v>6.94092194789106E-3</v>
      </c>
      <c r="CO69" s="217">
        <v>2.2166666666666663</v>
      </c>
    </row>
    <row r="70" spans="2:93" ht="13.5" customHeight="1" outlineLevel="1" x14ac:dyDescent="0.25">
      <c r="B70" s="53"/>
      <c r="C70" s="53"/>
      <c r="D70" s="53"/>
      <c r="E70" s="24" t="s">
        <v>63</v>
      </c>
      <c r="F70" s="451">
        <v>400</v>
      </c>
      <c r="G70" s="54">
        <v>420</v>
      </c>
      <c r="H70" s="55">
        <v>432.6</v>
      </c>
      <c r="I70" s="110"/>
      <c r="J70" s="111"/>
      <c r="K70" s="112">
        <v>0.05</v>
      </c>
      <c r="L70" s="112">
        <v>0.03</v>
      </c>
      <c r="M70" s="394">
        <v>2.7045300878972278E-3</v>
      </c>
      <c r="N70" s="395">
        <v>2.7136165401389113E-3</v>
      </c>
      <c r="O70" s="396">
        <v>2.690410607904683E-3</v>
      </c>
      <c r="Q70" s="458">
        <v>0.65</v>
      </c>
      <c r="R70" s="343">
        <v>0.68250000000000011</v>
      </c>
      <c r="S70" s="356">
        <v>0.68932500000000008</v>
      </c>
      <c r="T70" s="61">
        <v>0.05</v>
      </c>
      <c r="U70" s="37">
        <v>0.01</v>
      </c>
      <c r="W70" s="464">
        <v>0.05</v>
      </c>
      <c r="X70" s="483">
        <v>0.1</v>
      </c>
      <c r="Y70" s="374">
        <v>0.1</v>
      </c>
      <c r="AA70" s="401">
        <v>0.63157894736842102</v>
      </c>
      <c r="AB70" s="395">
        <v>0.64722222222222237</v>
      </c>
      <c r="AC70" s="396">
        <v>0.65480555555555564</v>
      </c>
      <c r="AD70" s="15"/>
      <c r="AE70" s="63">
        <v>42.10526315789474</v>
      </c>
      <c r="AF70" s="62">
        <v>43.368421052631582</v>
      </c>
      <c r="AG70" s="69">
        <v>45.536842105263162</v>
      </c>
      <c r="AH70" s="61">
        <v>0.03</v>
      </c>
      <c r="AI70" s="37">
        <v>0.05</v>
      </c>
      <c r="AJ70" s="15"/>
      <c r="AK70" s="63">
        <v>50.526315789473685</v>
      </c>
      <c r="AL70" s="62">
        <v>52.0421052631579</v>
      </c>
      <c r="AM70" s="69">
        <v>54.644210526315796</v>
      </c>
      <c r="AN70" s="439">
        <v>0.03</v>
      </c>
      <c r="AO70" s="435">
        <v>0.05</v>
      </c>
      <c r="AQ70" s="63">
        <v>40</v>
      </c>
      <c r="AR70" s="64">
        <v>39.031578947368423</v>
      </c>
      <c r="AS70" s="65">
        <v>40.983157894736848</v>
      </c>
      <c r="AT70" s="56">
        <v>-2.421052631578946E-2</v>
      </c>
      <c r="AU70" s="27">
        <v>5.0000000000000044E-2</v>
      </c>
      <c r="AW70" s="66">
        <v>21.052631578947398</v>
      </c>
      <c r="AX70" s="54">
        <v>46.666666666666629</v>
      </c>
      <c r="AY70" s="55">
        <v>48.066666666666663</v>
      </c>
      <c r="BA70" s="66">
        <v>252.63157894736841</v>
      </c>
      <c r="BB70" s="54">
        <v>271.83333333333337</v>
      </c>
      <c r="BC70" s="55">
        <v>283.26888333333341</v>
      </c>
      <c r="BE70" s="67">
        <v>147.36842105263159</v>
      </c>
      <c r="BF70" s="54">
        <v>148.16666666666663</v>
      </c>
      <c r="BG70" s="55">
        <v>149.33111666666662</v>
      </c>
      <c r="BI70" s="68">
        <v>421.0526315789474</v>
      </c>
      <c r="BJ70" s="62">
        <v>466.66666666666663</v>
      </c>
      <c r="BK70" s="69">
        <v>480.66666666666669</v>
      </c>
      <c r="BM70" s="451">
        <v>10</v>
      </c>
      <c r="BN70" s="54">
        <v>10.760517799352749</v>
      </c>
      <c r="BO70" s="55">
        <v>10.555555555555555</v>
      </c>
      <c r="BP70" s="56">
        <v>7.6051779935274899E-2</v>
      </c>
      <c r="BQ70" s="27">
        <v>-1.904761904761898E-2</v>
      </c>
      <c r="BR70" s="394">
        <v>2.205071664829107E-3</v>
      </c>
      <c r="BS70" s="395">
        <v>2.2322721813239342E-3</v>
      </c>
      <c r="BT70" s="396">
        <v>2.2170954692264629E-3</v>
      </c>
      <c r="BV70" s="451">
        <v>4</v>
      </c>
      <c r="BW70" s="469">
        <v>4</v>
      </c>
      <c r="BX70" s="70">
        <v>0</v>
      </c>
      <c r="BY70" s="451">
        <v>4</v>
      </c>
      <c r="BZ70" s="71">
        <v>3096.6018739692763</v>
      </c>
      <c r="CA70" s="70">
        <v>773.15046849231908</v>
      </c>
      <c r="CB70" s="113">
        <v>5</v>
      </c>
      <c r="CC70" s="71">
        <v>4.5238095238095255</v>
      </c>
      <c r="CD70" s="70">
        <v>-9.52380952380949E-2</v>
      </c>
      <c r="CF70" s="475">
        <v>3103.3623917686291</v>
      </c>
      <c r="CG70" s="478">
        <v>45981.486104705182</v>
      </c>
      <c r="CH70" s="235">
        <v>3.4629104824906326E-3</v>
      </c>
      <c r="CI70" s="72">
        <v>10.079365079365081</v>
      </c>
      <c r="CJ70" s="69">
        <v>1505.1628425925924</v>
      </c>
      <c r="CK70" s="250">
        <v>0.7</v>
      </c>
      <c r="CM70" s="215">
        <v>2.5</v>
      </c>
      <c r="CN70" s="216">
        <v>6.94092194789106E-3</v>
      </c>
      <c r="CO70" s="217">
        <v>2.2166666666666663</v>
      </c>
    </row>
    <row r="71" spans="2:93" ht="13.5" customHeight="1" x14ac:dyDescent="0.25">
      <c r="B71" s="540" t="s">
        <v>64</v>
      </c>
      <c r="C71" s="540"/>
      <c r="D71" s="540"/>
      <c r="E71" s="540"/>
      <c r="F71" s="88">
        <v>2000</v>
      </c>
      <c r="G71" s="89">
        <v>2100</v>
      </c>
      <c r="H71" s="90">
        <v>2163</v>
      </c>
      <c r="I71" s="90"/>
      <c r="J71" s="92"/>
      <c r="K71" s="92">
        <v>5.0000000000000044E-2</v>
      </c>
      <c r="L71" s="92">
        <v>3.0000000000000027E-2</v>
      </c>
      <c r="M71" s="366">
        <v>1.3522650439486139E-2</v>
      </c>
      <c r="N71" s="367">
        <v>1.3568082700694557E-2</v>
      </c>
      <c r="O71" s="94">
        <v>1.3452053039523414E-2</v>
      </c>
      <c r="Q71" s="345">
        <v>0.68157894736842117</v>
      </c>
      <c r="R71" s="346">
        <v>0.74722222222222223</v>
      </c>
      <c r="S71" s="349">
        <v>0.75480555555555584</v>
      </c>
      <c r="T71" s="93">
        <v>9.631059631059613E-2</v>
      </c>
      <c r="U71" s="92">
        <v>1.0148698884758778E-2</v>
      </c>
      <c r="V71" s="13"/>
      <c r="W71" s="375">
        <v>5.0000000000000121E-2</v>
      </c>
      <c r="X71" s="376">
        <v>9.9999999999999881E-2</v>
      </c>
      <c r="Y71" s="377">
        <v>0.10000000000000006</v>
      </c>
      <c r="AA71" s="366">
        <v>0.63157894736842102</v>
      </c>
      <c r="AB71" s="367">
        <v>0.64722222222222237</v>
      </c>
      <c r="AC71" s="94">
        <v>0.65480555555555575</v>
      </c>
      <c r="AD71" s="15"/>
      <c r="AE71" s="95">
        <v>42.10526315789474</v>
      </c>
      <c r="AF71" s="96">
        <v>43.368421052631582</v>
      </c>
      <c r="AG71" s="99">
        <v>45.536842105263162</v>
      </c>
      <c r="AH71" s="93">
        <v>3.0000000000000027E-2</v>
      </c>
      <c r="AI71" s="92">
        <v>5.0000000000000044E-2</v>
      </c>
      <c r="AJ71" s="15"/>
      <c r="AK71" s="95">
        <v>50.526315789473685</v>
      </c>
      <c r="AL71" s="96">
        <v>52.0421052631579</v>
      </c>
      <c r="AM71" s="99">
        <v>54.644210526315796</v>
      </c>
      <c r="AN71" s="93">
        <v>3.0000000000000027E-2</v>
      </c>
      <c r="AO71" s="92">
        <v>5.0000000000000044E-2</v>
      </c>
      <c r="AQ71" s="95">
        <v>40</v>
      </c>
      <c r="AR71" s="96">
        <v>39.03157894736843</v>
      </c>
      <c r="AS71" s="99">
        <v>40.983157894736841</v>
      </c>
      <c r="AT71" s="91">
        <v>-2.4210526315789238E-2</v>
      </c>
      <c r="AU71" s="92">
        <v>4.9999999999999822E-2</v>
      </c>
      <c r="AW71" s="88">
        <v>105.26315789473699</v>
      </c>
      <c r="AX71" s="89">
        <v>233.33333333333314</v>
      </c>
      <c r="AY71" s="90">
        <v>240.33333333333331</v>
      </c>
      <c r="BA71" s="88">
        <v>1263.1578947368421</v>
      </c>
      <c r="BB71" s="89">
        <v>1359.166666666667</v>
      </c>
      <c r="BC71" s="90">
        <v>1416.344416666667</v>
      </c>
      <c r="BE71" s="88">
        <v>736.84210526315792</v>
      </c>
      <c r="BF71" s="89">
        <v>740.83333333333314</v>
      </c>
      <c r="BG71" s="90">
        <v>746.65558333333308</v>
      </c>
      <c r="BI71" s="100">
        <v>2105.2631578947371</v>
      </c>
      <c r="BJ71" s="101">
        <v>2333.333333333333</v>
      </c>
      <c r="BK71" s="102">
        <v>2403.3333333333335</v>
      </c>
      <c r="BM71" s="88">
        <v>50</v>
      </c>
      <c r="BN71" s="89">
        <v>53.802588996763745</v>
      </c>
      <c r="BO71" s="90">
        <v>52.777777777777779</v>
      </c>
      <c r="BP71" s="91">
        <v>7.6051779935274899E-2</v>
      </c>
      <c r="BQ71" s="92">
        <v>-1.9047619047618869E-2</v>
      </c>
      <c r="BR71" s="366">
        <v>1.1025358324145534E-2</v>
      </c>
      <c r="BS71" s="367">
        <v>1.116136090661967E-2</v>
      </c>
      <c r="BT71" s="94">
        <v>1.1085477346132314E-2</v>
      </c>
      <c r="BV71" s="88">
        <v>20</v>
      </c>
      <c r="BW71" s="282">
        <v>20</v>
      </c>
      <c r="BX71" s="103">
        <v>0</v>
      </c>
      <c r="BY71" s="88">
        <v>20</v>
      </c>
      <c r="BZ71" s="282">
        <v>15483.009369846382</v>
      </c>
      <c r="CA71" s="103">
        <v>773.15046849231908</v>
      </c>
      <c r="CB71" s="282">
        <v>25</v>
      </c>
      <c r="CC71" s="282">
        <v>22.619047619047628</v>
      </c>
      <c r="CD71" s="103">
        <v>-9.52380952380949E-2</v>
      </c>
      <c r="CF71" s="115">
        <v>15516.811958843145</v>
      </c>
      <c r="CG71" s="102">
        <v>229907.43052352592</v>
      </c>
      <c r="CH71" s="252">
        <v>3.4629104824906326E-3</v>
      </c>
      <c r="CI71" s="115">
        <v>50.396825396825406</v>
      </c>
      <c r="CJ71" s="102">
        <v>7525.8142129629614</v>
      </c>
      <c r="CK71" s="308">
        <v>0.7</v>
      </c>
      <c r="CM71" s="290">
        <v>2.5</v>
      </c>
      <c r="CN71" s="291">
        <v>6.9409219478910591E-3</v>
      </c>
      <c r="CO71" s="292">
        <v>2.2166666666666663</v>
      </c>
    </row>
    <row r="72" spans="2:93" ht="13.5" customHeight="1" x14ac:dyDescent="0.25">
      <c r="B72" s="541" t="s">
        <v>65</v>
      </c>
      <c r="C72" s="541"/>
      <c r="D72" s="541"/>
      <c r="E72" s="541"/>
      <c r="F72" s="4">
        <v>4000</v>
      </c>
      <c r="G72" s="5">
        <v>4200</v>
      </c>
      <c r="H72" s="6">
        <v>4347</v>
      </c>
      <c r="I72" s="6"/>
      <c r="J72" s="8"/>
      <c r="K72" s="8">
        <v>5.0000000000000044E-2</v>
      </c>
      <c r="L72" s="8">
        <v>3.499999999999992E-2</v>
      </c>
      <c r="M72" s="402">
        <v>2.7045300878972278E-2</v>
      </c>
      <c r="N72" s="318">
        <v>2.7136165401389113E-2</v>
      </c>
      <c r="O72" s="9">
        <v>2.703470853574123E-2</v>
      </c>
      <c r="Q72" s="347">
        <v>0.68157894736842117</v>
      </c>
      <c r="R72" s="348">
        <v>0.74722222222222223</v>
      </c>
      <c r="S72" s="350">
        <v>0.75818698817894792</v>
      </c>
      <c r="T72" s="14">
        <v>9.631059631059613E-2</v>
      </c>
      <c r="U72" s="8">
        <v>1.4674036224614273E-2</v>
      </c>
      <c r="V72" s="13"/>
      <c r="W72" s="379">
        <v>5.0000000000000121E-2</v>
      </c>
      <c r="X72" s="380">
        <v>9.9999999999999881E-2</v>
      </c>
      <c r="Y72" s="381">
        <v>9.7953770367563545E-2</v>
      </c>
      <c r="AA72" s="402">
        <v>0.63157894736842102</v>
      </c>
      <c r="AB72" s="318">
        <v>0.64722222222222237</v>
      </c>
      <c r="AC72" s="9">
        <v>0.66023321781138433</v>
      </c>
      <c r="AD72" s="15"/>
      <c r="AE72" s="10">
        <v>42.10526315789474</v>
      </c>
      <c r="AF72" s="11">
        <v>43.368421052631582</v>
      </c>
      <c r="AG72" s="12">
        <v>45.536842105263162</v>
      </c>
      <c r="AH72" s="14">
        <v>3.0000000000000027E-2</v>
      </c>
      <c r="AI72" s="8">
        <v>5.0000000000000044E-2</v>
      </c>
      <c r="AJ72" s="15"/>
      <c r="AK72" s="10">
        <v>50.526315789473685</v>
      </c>
      <c r="AL72" s="11">
        <v>52.0421052631579</v>
      </c>
      <c r="AM72" s="12">
        <v>54.644210526315796</v>
      </c>
      <c r="AN72" s="14">
        <v>3.0000000000000027E-2</v>
      </c>
      <c r="AO72" s="8">
        <v>5.0000000000000044E-2</v>
      </c>
      <c r="AQ72" s="10">
        <v>40</v>
      </c>
      <c r="AR72" s="11">
        <v>39.03157894736843</v>
      </c>
      <c r="AS72" s="12">
        <v>41.076336730420216</v>
      </c>
      <c r="AT72" s="7">
        <v>-2.4210526315789238E-2</v>
      </c>
      <c r="AU72" s="8">
        <v>5.2387267904508983E-2</v>
      </c>
      <c r="AW72" s="4">
        <v>210.52631578947398</v>
      </c>
      <c r="AX72" s="5">
        <v>466.66666666666629</v>
      </c>
      <c r="AY72" s="6">
        <v>472.04347826086951</v>
      </c>
      <c r="BA72" s="4">
        <v>2526.3157894736842</v>
      </c>
      <c r="BB72" s="5">
        <v>2718.3333333333339</v>
      </c>
      <c r="BC72" s="6">
        <v>2870.0337978260877</v>
      </c>
      <c r="BE72" s="4">
        <v>1473.6842105263158</v>
      </c>
      <c r="BF72" s="5">
        <v>1481.6666666666663</v>
      </c>
      <c r="BG72" s="6">
        <v>1476.9662021739125</v>
      </c>
      <c r="BI72" s="116">
        <v>4210.5263157894742</v>
      </c>
      <c r="BJ72" s="16">
        <v>4666.6666666666661</v>
      </c>
      <c r="BK72" s="17">
        <v>4819.04347826087</v>
      </c>
      <c r="BM72" s="4">
        <v>100</v>
      </c>
      <c r="BN72" s="5">
        <v>107.60517799352749</v>
      </c>
      <c r="BO72" s="6">
        <v>105.82735331363445</v>
      </c>
      <c r="BP72" s="7">
        <v>7.6051779935274899E-2</v>
      </c>
      <c r="BQ72" s="8">
        <v>-1.6521739130434643E-2</v>
      </c>
      <c r="BR72" s="402">
        <v>2.2050716648291068E-2</v>
      </c>
      <c r="BS72" s="318">
        <v>2.2322721813239341E-2</v>
      </c>
      <c r="BT72" s="9">
        <v>2.2228043262810349E-2</v>
      </c>
      <c r="BV72" s="4">
        <v>4036</v>
      </c>
      <c r="BW72" s="283">
        <v>2536</v>
      </c>
      <c r="BX72" s="18">
        <v>-0.37165510406342916</v>
      </c>
      <c r="BY72" s="4">
        <v>3036</v>
      </c>
      <c r="BZ72" s="283">
        <v>33962.018739692765</v>
      </c>
      <c r="CA72" s="18">
        <v>10.186435685010792</v>
      </c>
      <c r="CB72" s="283">
        <v>50</v>
      </c>
      <c r="CC72" s="283">
        <v>45.354579991557635</v>
      </c>
      <c r="CD72" s="18">
        <v>-9.2908400168847272E-2</v>
      </c>
      <c r="CF72" s="117">
        <v>31033.623917686291</v>
      </c>
      <c r="CG72" s="17">
        <v>459814.86104705185</v>
      </c>
      <c r="CH72" s="253">
        <v>3.1583905432448073E-3</v>
      </c>
      <c r="CI72" s="117">
        <v>101.18193330519208</v>
      </c>
      <c r="CJ72" s="17">
        <v>14938.517758760496</v>
      </c>
      <c r="CK72" s="309">
        <v>0.7</v>
      </c>
      <c r="CM72" s="293">
        <v>3.0432136335970784E-2</v>
      </c>
      <c r="CN72" s="294">
        <v>5.8168075837036594E-3</v>
      </c>
      <c r="CO72" s="295">
        <v>2.2196595763518445</v>
      </c>
    </row>
    <row r="73" spans="2:93" ht="13.5" customHeight="1" outlineLevel="1" x14ac:dyDescent="0.25">
      <c r="B73" s="23" t="s">
        <v>50</v>
      </c>
      <c r="C73" s="23" t="s">
        <v>35</v>
      </c>
      <c r="D73" s="23" t="s">
        <v>51</v>
      </c>
      <c r="E73" s="24" t="s">
        <v>52</v>
      </c>
      <c r="F73" s="450">
        <v>400</v>
      </c>
      <c r="G73" s="25">
        <v>420</v>
      </c>
      <c r="H73" s="25">
        <v>432.6</v>
      </c>
      <c r="I73" s="146"/>
      <c r="J73" s="147"/>
      <c r="K73" s="33">
        <v>0.05</v>
      </c>
      <c r="L73" s="148">
        <v>0.03</v>
      </c>
      <c r="M73" s="391">
        <v>2.7045300878972278E-3</v>
      </c>
      <c r="N73" s="392">
        <v>2.7136165401389113E-3</v>
      </c>
      <c r="O73" s="393">
        <v>2.690410607904683E-3</v>
      </c>
      <c r="P73" s="29"/>
      <c r="Q73" s="457">
        <v>0.65</v>
      </c>
      <c r="R73" s="343">
        <v>0.68250000000000011</v>
      </c>
      <c r="S73" s="356">
        <v>0.68932500000000008</v>
      </c>
      <c r="T73" s="36">
        <v>0.05</v>
      </c>
      <c r="U73" s="35">
        <v>0.01</v>
      </c>
      <c r="V73" s="29"/>
      <c r="W73" s="463">
        <v>0.05</v>
      </c>
      <c r="X73" s="482">
        <v>0.1</v>
      </c>
      <c r="Y73" s="374">
        <v>0.1</v>
      </c>
      <c r="AA73" s="400">
        <v>0.63157894736842102</v>
      </c>
      <c r="AB73" s="392">
        <v>0.64722222222222237</v>
      </c>
      <c r="AC73" s="393">
        <v>0.65480555555555564</v>
      </c>
      <c r="AD73" s="15"/>
      <c r="AE73" s="38">
        <v>42.10526315789474</v>
      </c>
      <c r="AF73" s="62">
        <v>43.368421052631582</v>
      </c>
      <c r="AG73" s="69">
        <v>45.536842105263162</v>
      </c>
      <c r="AH73" s="36">
        <v>0.03</v>
      </c>
      <c r="AI73" s="35">
        <v>0.05</v>
      </c>
      <c r="AJ73" s="15"/>
      <c r="AK73" s="38">
        <v>50.526315789473685</v>
      </c>
      <c r="AL73" s="62">
        <v>52.0421052631579</v>
      </c>
      <c r="AM73" s="69">
        <v>54.644210526315796</v>
      </c>
      <c r="AN73" s="438">
        <v>0.03</v>
      </c>
      <c r="AO73" s="433">
        <v>0.05</v>
      </c>
      <c r="AQ73" s="38">
        <v>40</v>
      </c>
      <c r="AR73" s="64">
        <v>39.031578947368423</v>
      </c>
      <c r="AS73" s="65">
        <v>40.983157894736848</v>
      </c>
      <c r="AT73" s="26">
        <v>-2.421052631578946E-2</v>
      </c>
      <c r="AU73" s="28">
        <v>5.0000000000000044E-2</v>
      </c>
      <c r="AW73" s="41">
        <v>21.052631578947398</v>
      </c>
      <c r="AX73" s="25">
        <v>46.666666666666629</v>
      </c>
      <c r="AY73" s="25">
        <v>48.066666666666663</v>
      </c>
      <c r="BA73" s="41">
        <v>252.63157894736841</v>
      </c>
      <c r="BB73" s="25">
        <v>271.83333333333337</v>
      </c>
      <c r="BC73" s="25">
        <v>283.26888333333341</v>
      </c>
      <c r="BE73" s="42">
        <v>147.36842105263159</v>
      </c>
      <c r="BF73" s="25">
        <v>148.16666666666663</v>
      </c>
      <c r="BG73" s="25">
        <v>149.33111666666662</v>
      </c>
      <c r="BI73" s="43">
        <v>421.0526315789474</v>
      </c>
      <c r="BJ73" s="44">
        <v>466.66666666666663</v>
      </c>
      <c r="BK73" s="45">
        <v>480.66666666666669</v>
      </c>
      <c r="BM73" s="450">
        <v>10</v>
      </c>
      <c r="BN73" s="25">
        <v>10.760517799352749</v>
      </c>
      <c r="BO73" s="25">
        <v>10.555555555555555</v>
      </c>
      <c r="BP73" s="26">
        <v>7.6051779935274899E-2</v>
      </c>
      <c r="BQ73" s="28">
        <v>-1.904761904761898E-2</v>
      </c>
      <c r="BR73" s="391">
        <v>2.205071664829107E-3</v>
      </c>
      <c r="BS73" s="392">
        <v>2.2322721813239342E-3</v>
      </c>
      <c r="BT73" s="393">
        <v>2.2170954692264629E-3</v>
      </c>
      <c r="BV73" s="450">
        <v>4</v>
      </c>
      <c r="BW73" s="468">
        <v>4</v>
      </c>
      <c r="BX73" s="150">
        <v>0</v>
      </c>
      <c r="BY73" s="450">
        <v>4</v>
      </c>
      <c r="BZ73" s="47">
        <v>3096.6018739692763</v>
      </c>
      <c r="CA73" s="150">
        <v>773.15046849231908</v>
      </c>
      <c r="CB73" s="149">
        <v>5</v>
      </c>
      <c r="CC73" s="47">
        <v>4.5238095238095255</v>
      </c>
      <c r="CD73" s="150">
        <v>-9.52380952380949E-2</v>
      </c>
      <c r="CF73" s="474">
        <v>3103.3623917686291</v>
      </c>
      <c r="CG73" s="477">
        <v>45981.486104705182</v>
      </c>
      <c r="CH73" s="234">
        <v>3.4629104824906326E-3</v>
      </c>
      <c r="CI73" s="49">
        <v>10.079365079365081</v>
      </c>
      <c r="CJ73" s="45">
        <v>1505.1628425925924</v>
      </c>
      <c r="CK73" s="249">
        <v>0.7</v>
      </c>
      <c r="CM73" s="214">
        <v>2.5</v>
      </c>
      <c r="CN73" s="51">
        <v>6.94092194789106E-3</v>
      </c>
      <c r="CO73" s="226">
        <v>2.2166666666666663</v>
      </c>
    </row>
    <row r="74" spans="2:93" ht="13.5" customHeight="1" outlineLevel="1" x14ac:dyDescent="0.25">
      <c r="B74" s="53"/>
      <c r="C74" s="53"/>
      <c r="D74" s="53"/>
      <c r="E74" s="24" t="s">
        <v>53</v>
      </c>
      <c r="F74" s="451">
        <v>400</v>
      </c>
      <c r="G74" s="54">
        <v>420</v>
      </c>
      <c r="H74" s="54">
        <v>432.6</v>
      </c>
      <c r="I74" s="151"/>
      <c r="J74" s="142"/>
      <c r="K74" s="59">
        <v>0.05</v>
      </c>
      <c r="L74" s="152">
        <v>0.03</v>
      </c>
      <c r="M74" s="394">
        <v>2.7045300878972278E-3</v>
      </c>
      <c r="N74" s="395">
        <v>2.7136165401389113E-3</v>
      </c>
      <c r="O74" s="396">
        <v>2.690410607904683E-3</v>
      </c>
      <c r="P74" s="29"/>
      <c r="Q74" s="458">
        <v>0.65</v>
      </c>
      <c r="R74" s="343">
        <v>0.68250000000000011</v>
      </c>
      <c r="S74" s="356">
        <v>0.68932500000000008</v>
      </c>
      <c r="T74" s="61">
        <v>0.05</v>
      </c>
      <c r="U74" s="37">
        <v>0.01</v>
      </c>
      <c r="W74" s="464">
        <v>0.05</v>
      </c>
      <c r="X74" s="483">
        <v>0.1</v>
      </c>
      <c r="Y74" s="374">
        <v>0.1</v>
      </c>
      <c r="AA74" s="401">
        <v>0.63157894736842102</v>
      </c>
      <c r="AB74" s="395">
        <v>0.64722222222222237</v>
      </c>
      <c r="AC74" s="396">
        <v>0.65480555555555564</v>
      </c>
      <c r="AD74" s="15"/>
      <c r="AE74" s="63">
        <v>42.10526315789474</v>
      </c>
      <c r="AF74" s="62">
        <v>43.368421052631582</v>
      </c>
      <c r="AG74" s="69">
        <v>45.536842105263162</v>
      </c>
      <c r="AH74" s="61">
        <v>0.03</v>
      </c>
      <c r="AI74" s="37">
        <v>0.05</v>
      </c>
      <c r="AJ74" s="15"/>
      <c r="AK74" s="63">
        <v>50.526315789473685</v>
      </c>
      <c r="AL74" s="62">
        <v>52.0421052631579</v>
      </c>
      <c r="AM74" s="69">
        <v>54.644210526315796</v>
      </c>
      <c r="AN74" s="439">
        <v>0.03</v>
      </c>
      <c r="AO74" s="435">
        <v>0.05</v>
      </c>
      <c r="AQ74" s="63">
        <v>40</v>
      </c>
      <c r="AR74" s="64">
        <v>39.031578947368423</v>
      </c>
      <c r="AS74" s="65">
        <v>40.983157894736848</v>
      </c>
      <c r="AT74" s="56">
        <v>-2.421052631578946E-2</v>
      </c>
      <c r="AU74" s="27">
        <v>5.0000000000000044E-2</v>
      </c>
      <c r="AW74" s="66">
        <v>21.052631578947398</v>
      </c>
      <c r="AX74" s="54">
        <v>46.666666666666629</v>
      </c>
      <c r="AY74" s="54">
        <v>48.066666666666663</v>
      </c>
      <c r="BA74" s="66">
        <v>252.63157894736841</v>
      </c>
      <c r="BB74" s="54">
        <v>271.83333333333337</v>
      </c>
      <c r="BC74" s="54">
        <v>283.26888333333341</v>
      </c>
      <c r="BE74" s="67">
        <v>147.36842105263159</v>
      </c>
      <c r="BF74" s="54">
        <v>148.16666666666663</v>
      </c>
      <c r="BG74" s="55">
        <v>149.33111666666662</v>
      </c>
      <c r="BI74" s="68">
        <v>421.0526315789474</v>
      </c>
      <c r="BJ74" s="62">
        <v>466.66666666666663</v>
      </c>
      <c r="BK74" s="69">
        <v>480.66666666666669</v>
      </c>
      <c r="BM74" s="451">
        <v>10</v>
      </c>
      <c r="BN74" s="54">
        <v>10.760517799352749</v>
      </c>
      <c r="BO74" s="55">
        <v>10.555555555555555</v>
      </c>
      <c r="BP74" s="56">
        <v>7.6051779935274899E-2</v>
      </c>
      <c r="BQ74" s="27">
        <v>-1.904761904761898E-2</v>
      </c>
      <c r="BR74" s="394">
        <v>2.205071664829107E-3</v>
      </c>
      <c r="BS74" s="395">
        <v>2.2322721813239342E-3</v>
      </c>
      <c r="BT74" s="396">
        <v>2.2170954692264629E-3</v>
      </c>
      <c r="BV74" s="451">
        <v>4</v>
      </c>
      <c r="BW74" s="469">
        <v>4</v>
      </c>
      <c r="BX74" s="70">
        <v>0</v>
      </c>
      <c r="BY74" s="451">
        <v>4</v>
      </c>
      <c r="BZ74" s="71">
        <v>3096.6018739692763</v>
      </c>
      <c r="CA74" s="70">
        <v>773.15046849231908</v>
      </c>
      <c r="CB74" s="113">
        <v>5</v>
      </c>
      <c r="CC74" s="71">
        <v>4.5238095238095255</v>
      </c>
      <c r="CD74" s="70">
        <v>-9.52380952380949E-2</v>
      </c>
      <c r="CF74" s="475">
        <v>3103.3623917686291</v>
      </c>
      <c r="CG74" s="478">
        <v>45981.486104705182</v>
      </c>
      <c r="CH74" s="235">
        <v>3.4629104824906326E-3</v>
      </c>
      <c r="CI74" s="72">
        <v>10.079365079365081</v>
      </c>
      <c r="CJ74" s="69">
        <v>1505.1628425925924</v>
      </c>
      <c r="CK74" s="250">
        <v>0.7</v>
      </c>
      <c r="CM74" s="215">
        <v>2.5</v>
      </c>
      <c r="CN74" s="216">
        <v>6.94092194789106E-3</v>
      </c>
      <c r="CO74" s="217">
        <v>2.2166666666666663</v>
      </c>
    </row>
    <row r="75" spans="2:93" ht="13.5" customHeight="1" outlineLevel="1" x14ac:dyDescent="0.25">
      <c r="B75" s="53"/>
      <c r="C75" s="53"/>
      <c r="D75" s="53"/>
      <c r="E75" s="24" t="s">
        <v>54</v>
      </c>
      <c r="F75" s="451">
        <v>400</v>
      </c>
      <c r="G75" s="54">
        <v>420</v>
      </c>
      <c r="H75" s="54">
        <v>432.6</v>
      </c>
      <c r="I75" s="151"/>
      <c r="J75" s="142"/>
      <c r="K75" s="59">
        <v>0.05</v>
      </c>
      <c r="L75" s="152">
        <v>0.03</v>
      </c>
      <c r="M75" s="394">
        <v>2.7045300878972278E-3</v>
      </c>
      <c r="N75" s="395">
        <v>2.7136165401389113E-3</v>
      </c>
      <c r="O75" s="396">
        <v>2.690410607904683E-3</v>
      </c>
      <c r="P75" s="29"/>
      <c r="Q75" s="458">
        <v>0.65</v>
      </c>
      <c r="R75" s="343">
        <v>0.68250000000000011</v>
      </c>
      <c r="S75" s="356">
        <v>0.68932500000000008</v>
      </c>
      <c r="T75" s="61">
        <v>0.05</v>
      </c>
      <c r="U75" s="37">
        <v>0.01</v>
      </c>
      <c r="W75" s="464">
        <v>0.05</v>
      </c>
      <c r="X75" s="483">
        <v>0.1</v>
      </c>
      <c r="Y75" s="374">
        <v>0.1</v>
      </c>
      <c r="AA75" s="401">
        <v>0.63157894736842102</v>
      </c>
      <c r="AB75" s="395">
        <v>0.64722222222222237</v>
      </c>
      <c r="AC75" s="396">
        <v>0.65480555555555564</v>
      </c>
      <c r="AD75" s="15"/>
      <c r="AE75" s="63">
        <v>42.10526315789474</v>
      </c>
      <c r="AF75" s="62">
        <v>43.368421052631582</v>
      </c>
      <c r="AG75" s="69">
        <v>45.536842105263162</v>
      </c>
      <c r="AH75" s="61">
        <v>0.03</v>
      </c>
      <c r="AI75" s="37">
        <v>0.05</v>
      </c>
      <c r="AJ75" s="15"/>
      <c r="AK75" s="63">
        <v>50.526315789473685</v>
      </c>
      <c r="AL75" s="62">
        <v>52.0421052631579</v>
      </c>
      <c r="AM75" s="69">
        <v>54.644210526315796</v>
      </c>
      <c r="AN75" s="439">
        <v>0.03</v>
      </c>
      <c r="AO75" s="435">
        <v>0.05</v>
      </c>
      <c r="AQ75" s="63">
        <v>40</v>
      </c>
      <c r="AR75" s="64">
        <v>39.031578947368423</v>
      </c>
      <c r="AS75" s="65">
        <v>40.983157894736848</v>
      </c>
      <c r="AT75" s="56">
        <v>-2.421052631578946E-2</v>
      </c>
      <c r="AU75" s="27">
        <v>5.0000000000000044E-2</v>
      </c>
      <c r="AW75" s="66">
        <v>21.052631578947398</v>
      </c>
      <c r="AX75" s="54">
        <v>46.666666666666629</v>
      </c>
      <c r="AY75" s="54">
        <v>48.066666666666663</v>
      </c>
      <c r="BA75" s="66">
        <v>252.63157894736841</v>
      </c>
      <c r="BB75" s="54">
        <v>271.83333333333337</v>
      </c>
      <c r="BC75" s="54">
        <v>283.26888333333341</v>
      </c>
      <c r="BE75" s="67">
        <v>147.36842105263159</v>
      </c>
      <c r="BF75" s="54">
        <v>148.16666666666663</v>
      </c>
      <c r="BG75" s="55">
        <v>149.33111666666662</v>
      </c>
      <c r="BI75" s="68">
        <v>421.0526315789474</v>
      </c>
      <c r="BJ75" s="62">
        <v>466.66666666666663</v>
      </c>
      <c r="BK75" s="69">
        <v>480.66666666666669</v>
      </c>
      <c r="BM75" s="451">
        <v>10</v>
      </c>
      <c r="BN75" s="54">
        <v>10.760517799352749</v>
      </c>
      <c r="BO75" s="55">
        <v>10.555555555555555</v>
      </c>
      <c r="BP75" s="56">
        <v>7.6051779935274899E-2</v>
      </c>
      <c r="BQ75" s="27">
        <v>-1.904761904761898E-2</v>
      </c>
      <c r="BR75" s="394">
        <v>2.205071664829107E-3</v>
      </c>
      <c r="BS75" s="395">
        <v>2.2322721813239342E-3</v>
      </c>
      <c r="BT75" s="396">
        <v>2.2170954692264629E-3</v>
      </c>
      <c r="BV75" s="451">
        <v>4</v>
      </c>
      <c r="BW75" s="469">
        <v>4</v>
      </c>
      <c r="BX75" s="70">
        <v>0</v>
      </c>
      <c r="BY75" s="451">
        <v>4</v>
      </c>
      <c r="BZ75" s="71">
        <v>3096.6018739692763</v>
      </c>
      <c r="CA75" s="70">
        <v>773.15046849231908</v>
      </c>
      <c r="CB75" s="113">
        <v>5</v>
      </c>
      <c r="CC75" s="71">
        <v>4.5238095238095255</v>
      </c>
      <c r="CD75" s="70">
        <v>-9.52380952380949E-2</v>
      </c>
      <c r="CF75" s="475">
        <v>3103.3623917686291</v>
      </c>
      <c r="CG75" s="478">
        <v>45981.486104705182</v>
      </c>
      <c r="CH75" s="235">
        <v>3.4629104824906326E-3</v>
      </c>
      <c r="CI75" s="72">
        <v>10.079365079365081</v>
      </c>
      <c r="CJ75" s="69">
        <v>1505.1628425925924</v>
      </c>
      <c r="CK75" s="250">
        <v>0.7</v>
      </c>
      <c r="CM75" s="215">
        <v>2.5</v>
      </c>
      <c r="CN75" s="216">
        <v>6.94092194789106E-3</v>
      </c>
      <c r="CO75" s="217">
        <v>2.2166666666666663</v>
      </c>
    </row>
    <row r="76" spans="2:93" ht="13.5" customHeight="1" outlineLevel="1" x14ac:dyDescent="0.25">
      <c r="B76" s="53"/>
      <c r="C76" s="53"/>
      <c r="D76" s="53"/>
      <c r="E76" s="24" t="s">
        <v>55</v>
      </c>
      <c r="F76" s="451">
        <v>400</v>
      </c>
      <c r="G76" s="54">
        <v>420</v>
      </c>
      <c r="H76" s="54">
        <v>432.6</v>
      </c>
      <c r="I76" s="151"/>
      <c r="J76" s="142"/>
      <c r="K76" s="59">
        <v>0.05</v>
      </c>
      <c r="L76" s="152">
        <v>0.03</v>
      </c>
      <c r="M76" s="394">
        <v>2.7045300878972278E-3</v>
      </c>
      <c r="N76" s="395">
        <v>2.7136165401389113E-3</v>
      </c>
      <c r="O76" s="396">
        <v>2.690410607904683E-3</v>
      </c>
      <c r="P76" s="29"/>
      <c r="Q76" s="458">
        <v>0.65</v>
      </c>
      <c r="R76" s="343">
        <v>0.68250000000000011</v>
      </c>
      <c r="S76" s="356">
        <v>0.68932500000000008</v>
      </c>
      <c r="T76" s="61">
        <v>0.05</v>
      </c>
      <c r="U76" s="37">
        <v>0.01</v>
      </c>
      <c r="W76" s="464">
        <v>0.05</v>
      </c>
      <c r="X76" s="483">
        <v>0.1</v>
      </c>
      <c r="Y76" s="374">
        <v>0.1</v>
      </c>
      <c r="AA76" s="401">
        <v>0.63157894736842102</v>
      </c>
      <c r="AB76" s="395">
        <v>0.64722222222222237</v>
      </c>
      <c r="AC76" s="396">
        <v>0.65480555555555564</v>
      </c>
      <c r="AD76" s="15"/>
      <c r="AE76" s="63">
        <v>42.10526315789474</v>
      </c>
      <c r="AF76" s="62">
        <v>43.368421052631582</v>
      </c>
      <c r="AG76" s="69">
        <v>45.536842105263162</v>
      </c>
      <c r="AH76" s="61">
        <v>0.03</v>
      </c>
      <c r="AI76" s="37">
        <v>0.05</v>
      </c>
      <c r="AJ76" s="15"/>
      <c r="AK76" s="63">
        <v>50.526315789473685</v>
      </c>
      <c r="AL76" s="62">
        <v>52.0421052631579</v>
      </c>
      <c r="AM76" s="69">
        <v>54.644210526315796</v>
      </c>
      <c r="AN76" s="439">
        <v>0.03</v>
      </c>
      <c r="AO76" s="435">
        <v>0.05</v>
      </c>
      <c r="AQ76" s="63">
        <v>40</v>
      </c>
      <c r="AR76" s="64">
        <v>39.031578947368423</v>
      </c>
      <c r="AS76" s="65">
        <v>40.983157894736848</v>
      </c>
      <c r="AT76" s="56">
        <v>-2.421052631578946E-2</v>
      </c>
      <c r="AU76" s="27">
        <v>5.0000000000000044E-2</v>
      </c>
      <c r="AW76" s="66">
        <v>21.052631578947398</v>
      </c>
      <c r="AX76" s="54">
        <v>46.666666666666629</v>
      </c>
      <c r="AY76" s="54">
        <v>48.066666666666663</v>
      </c>
      <c r="BA76" s="66">
        <v>252.63157894736841</v>
      </c>
      <c r="BB76" s="54">
        <v>271.83333333333337</v>
      </c>
      <c r="BC76" s="54">
        <v>283.26888333333341</v>
      </c>
      <c r="BE76" s="67">
        <v>147.36842105263159</v>
      </c>
      <c r="BF76" s="54">
        <v>148.16666666666663</v>
      </c>
      <c r="BG76" s="55">
        <v>149.33111666666662</v>
      </c>
      <c r="BI76" s="68">
        <v>421.0526315789474</v>
      </c>
      <c r="BJ76" s="62">
        <v>466.66666666666663</v>
      </c>
      <c r="BK76" s="69">
        <v>480.66666666666669</v>
      </c>
      <c r="BM76" s="451">
        <v>10</v>
      </c>
      <c r="BN76" s="54">
        <v>10.760517799352749</v>
      </c>
      <c r="BO76" s="55">
        <v>10.555555555555555</v>
      </c>
      <c r="BP76" s="56">
        <v>7.6051779935274899E-2</v>
      </c>
      <c r="BQ76" s="27">
        <v>-1.904761904761898E-2</v>
      </c>
      <c r="BR76" s="394">
        <v>2.205071664829107E-3</v>
      </c>
      <c r="BS76" s="395">
        <v>2.2322721813239342E-3</v>
      </c>
      <c r="BT76" s="396">
        <v>2.2170954692264629E-3</v>
      </c>
      <c r="BV76" s="451">
        <v>4</v>
      </c>
      <c r="BW76" s="469">
        <v>4</v>
      </c>
      <c r="BX76" s="70">
        <v>0</v>
      </c>
      <c r="BY76" s="451">
        <v>4</v>
      </c>
      <c r="BZ76" s="71">
        <v>3096.6018739692763</v>
      </c>
      <c r="CA76" s="70">
        <v>773.15046849231908</v>
      </c>
      <c r="CB76" s="113">
        <v>5</v>
      </c>
      <c r="CC76" s="71">
        <v>4.5238095238095255</v>
      </c>
      <c r="CD76" s="70">
        <v>-9.52380952380949E-2</v>
      </c>
      <c r="CF76" s="475">
        <v>3103.3623917686291</v>
      </c>
      <c r="CG76" s="478">
        <v>45981.486104705182</v>
      </c>
      <c r="CH76" s="235">
        <v>3.4629104824906326E-3</v>
      </c>
      <c r="CI76" s="72">
        <v>10.079365079365081</v>
      </c>
      <c r="CJ76" s="69">
        <v>1505.1628425925924</v>
      </c>
      <c r="CK76" s="250">
        <v>0.7</v>
      </c>
      <c r="CM76" s="215">
        <v>2.5</v>
      </c>
      <c r="CN76" s="216">
        <v>6.94092194789106E-3</v>
      </c>
      <c r="CO76" s="217">
        <v>2.2166666666666663</v>
      </c>
    </row>
    <row r="77" spans="2:93" ht="13.5" customHeight="1" outlineLevel="1" x14ac:dyDescent="0.25">
      <c r="B77" s="73"/>
      <c r="C77" s="73"/>
      <c r="D77" s="73"/>
      <c r="E77" s="24" t="s">
        <v>56</v>
      </c>
      <c r="F77" s="451">
        <v>400</v>
      </c>
      <c r="G77" s="54">
        <v>420</v>
      </c>
      <c r="H77" s="54">
        <v>432.6</v>
      </c>
      <c r="I77" s="153"/>
      <c r="J77" s="142"/>
      <c r="K77" s="77">
        <v>0.05</v>
      </c>
      <c r="L77" s="152">
        <v>0.03</v>
      </c>
      <c r="M77" s="394">
        <v>2.7045300878972278E-3</v>
      </c>
      <c r="N77" s="395">
        <v>2.7136165401389113E-3</v>
      </c>
      <c r="O77" s="396">
        <v>2.690410607904683E-3</v>
      </c>
      <c r="P77" s="29"/>
      <c r="Q77" s="458">
        <v>0.65</v>
      </c>
      <c r="R77" s="343">
        <v>0.68250000000000011</v>
      </c>
      <c r="S77" s="356">
        <v>0.68932500000000008</v>
      </c>
      <c r="T77" s="61">
        <v>0.05</v>
      </c>
      <c r="U77" s="37">
        <v>0.01</v>
      </c>
      <c r="W77" s="464">
        <v>0.05</v>
      </c>
      <c r="X77" s="483">
        <v>0.1</v>
      </c>
      <c r="Y77" s="374">
        <v>0.1</v>
      </c>
      <c r="AA77" s="401">
        <v>0.63157894736842102</v>
      </c>
      <c r="AB77" s="395">
        <v>0.64722222222222237</v>
      </c>
      <c r="AC77" s="396">
        <v>0.65480555555555564</v>
      </c>
      <c r="AD77" s="15"/>
      <c r="AE77" s="63">
        <v>42.10526315789474</v>
      </c>
      <c r="AF77" s="62">
        <v>43.368421052631582</v>
      </c>
      <c r="AG77" s="69">
        <v>45.536842105263162</v>
      </c>
      <c r="AH77" s="61">
        <v>0.03</v>
      </c>
      <c r="AI77" s="37">
        <v>0.05</v>
      </c>
      <c r="AJ77" s="15"/>
      <c r="AK77" s="63">
        <v>50.526315789473685</v>
      </c>
      <c r="AL77" s="62">
        <v>52.0421052631579</v>
      </c>
      <c r="AM77" s="69">
        <v>54.644210526315796</v>
      </c>
      <c r="AN77" s="439">
        <v>0.03</v>
      </c>
      <c r="AO77" s="435">
        <v>0.05</v>
      </c>
      <c r="AQ77" s="63">
        <v>40</v>
      </c>
      <c r="AR77" s="64">
        <v>39.031578947368423</v>
      </c>
      <c r="AS77" s="65">
        <v>40.983157894736848</v>
      </c>
      <c r="AT77" s="56">
        <v>-2.421052631578946E-2</v>
      </c>
      <c r="AU77" s="27">
        <v>5.0000000000000044E-2</v>
      </c>
      <c r="AW77" s="66">
        <v>21.052631578947398</v>
      </c>
      <c r="AX77" s="54">
        <v>46.666666666666629</v>
      </c>
      <c r="AY77" s="54">
        <v>48.066666666666663</v>
      </c>
      <c r="BA77" s="66">
        <v>252.63157894736841</v>
      </c>
      <c r="BB77" s="54">
        <v>271.83333333333337</v>
      </c>
      <c r="BC77" s="54">
        <v>283.26888333333341</v>
      </c>
      <c r="BE77" s="67">
        <v>147.36842105263159</v>
      </c>
      <c r="BF77" s="54">
        <v>148.16666666666663</v>
      </c>
      <c r="BG77" s="55">
        <v>149.33111666666662</v>
      </c>
      <c r="BI77" s="68">
        <v>421.0526315789474</v>
      </c>
      <c r="BJ77" s="62">
        <v>466.66666666666663</v>
      </c>
      <c r="BK77" s="69">
        <v>480.66666666666669</v>
      </c>
      <c r="BM77" s="451">
        <v>10</v>
      </c>
      <c r="BN77" s="54">
        <v>10.760517799352749</v>
      </c>
      <c r="BO77" s="55">
        <v>10.555555555555555</v>
      </c>
      <c r="BP77" s="56">
        <v>7.6051779935274899E-2</v>
      </c>
      <c r="BQ77" s="27">
        <v>-1.904761904761898E-2</v>
      </c>
      <c r="BR77" s="394">
        <v>2.205071664829107E-3</v>
      </c>
      <c r="BS77" s="395">
        <v>2.2322721813239342E-3</v>
      </c>
      <c r="BT77" s="396">
        <v>2.2170954692264629E-3</v>
      </c>
      <c r="BV77" s="451">
        <v>4</v>
      </c>
      <c r="BW77" s="469">
        <v>4</v>
      </c>
      <c r="BX77" s="70">
        <v>0</v>
      </c>
      <c r="BY77" s="451">
        <v>4</v>
      </c>
      <c r="BZ77" s="71">
        <v>3096.6018739692763</v>
      </c>
      <c r="CA77" s="70">
        <v>773.15046849231908</v>
      </c>
      <c r="CB77" s="113">
        <v>5</v>
      </c>
      <c r="CC77" s="71">
        <v>4.5238095238095255</v>
      </c>
      <c r="CD77" s="70">
        <v>-9.52380952380949E-2</v>
      </c>
      <c r="CF77" s="475">
        <v>3103.3623917686291</v>
      </c>
      <c r="CG77" s="478">
        <v>45981.486104705182</v>
      </c>
      <c r="CH77" s="235">
        <v>3.4629104824906326E-3</v>
      </c>
      <c r="CI77" s="72">
        <v>10.079365079365081</v>
      </c>
      <c r="CJ77" s="69">
        <v>1505.1628425925924</v>
      </c>
      <c r="CK77" s="250">
        <v>0.7</v>
      </c>
      <c r="CM77" s="215">
        <v>2.5</v>
      </c>
      <c r="CN77" s="216">
        <v>6.94092194789106E-3</v>
      </c>
      <c r="CO77" s="217">
        <v>2.2166666666666663</v>
      </c>
    </row>
    <row r="78" spans="2:93" ht="13.5" customHeight="1" x14ac:dyDescent="0.25">
      <c r="B78" s="540" t="s">
        <v>66</v>
      </c>
      <c r="C78" s="540"/>
      <c r="D78" s="540"/>
      <c r="E78" s="540"/>
      <c r="F78" s="88">
        <v>2000</v>
      </c>
      <c r="G78" s="89">
        <v>2100</v>
      </c>
      <c r="H78" s="89">
        <v>2163</v>
      </c>
      <c r="I78" s="156"/>
      <c r="J78" s="92"/>
      <c r="K78" s="92">
        <v>5.0000000000000044E-2</v>
      </c>
      <c r="L78" s="92">
        <v>3.0000000000000027E-2</v>
      </c>
      <c r="M78" s="366">
        <v>1.3522650439486139E-2</v>
      </c>
      <c r="N78" s="367">
        <v>1.3568082700694557E-2</v>
      </c>
      <c r="O78" s="94">
        <v>1.3452053039523414E-2</v>
      </c>
      <c r="P78" s="29"/>
      <c r="Q78" s="345">
        <v>0.68157894736842117</v>
      </c>
      <c r="R78" s="346">
        <v>0.74722222222222223</v>
      </c>
      <c r="S78" s="349">
        <v>0.75480555555555584</v>
      </c>
      <c r="T78" s="93">
        <v>9.631059631059613E-2</v>
      </c>
      <c r="U78" s="92">
        <v>1.0148698884758778E-2</v>
      </c>
      <c r="V78" s="13"/>
      <c r="W78" s="375">
        <v>5.0000000000000121E-2</v>
      </c>
      <c r="X78" s="376">
        <v>9.9999999999999881E-2</v>
      </c>
      <c r="Y78" s="377">
        <v>0.10000000000000006</v>
      </c>
      <c r="AA78" s="366">
        <v>0.63157894736842102</v>
      </c>
      <c r="AB78" s="367">
        <v>0.64722222222222237</v>
      </c>
      <c r="AC78" s="94">
        <v>0.65480555555555575</v>
      </c>
      <c r="AD78" s="15"/>
      <c r="AE78" s="95">
        <v>39.999999999999993</v>
      </c>
      <c r="AF78" s="96">
        <v>41.199999999999996</v>
      </c>
      <c r="AG78" s="99">
        <v>43.26</v>
      </c>
      <c r="AH78" s="93">
        <v>0.03</v>
      </c>
      <c r="AI78" s="92">
        <v>0.05</v>
      </c>
      <c r="AJ78" s="15"/>
      <c r="AK78" s="95">
        <v>47.999999999999993</v>
      </c>
      <c r="AL78" s="96">
        <v>49.439999999999991</v>
      </c>
      <c r="AM78" s="99">
        <v>51.911999999999999</v>
      </c>
      <c r="AN78" s="93">
        <v>0.03</v>
      </c>
      <c r="AO78" s="92">
        <v>0.05</v>
      </c>
      <c r="AQ78" s="95">
        <v>40</v>
      </c>
      <c r="AR78" s="96">
        <v>39.03157894736843</v>
      </c>
      <c r="AS78" s="99">
        <v>40.983157894736841</v>
      </c>
      <c r="AT78" s="91">
        <v>-2.4210526315789238E-2</v>
      </c>
      <c r="AU78" s="92">
        <v>4.9999999999999822E-2</v>
      </c>
      <c r="AW78" s="88">
        <v>105.26315789473699</v>
      </c>
      <c r="AX78" s="89">
        <v>233.33333333333314</v>
      </c>
      <c r="AY78" s="89">
        <v>240.33333333333331</v>
      </c>
      <c r="BA78" s="88">
        <v>1263.1578947368421</v>
      </c>
      <c r="BB78" s="89">
        <v>1359.166666666667</v>
      </c>
      <c r="BC78" s="89">
        <v>1416.344416666667</v>
      </c>
      <c r="BE78" s="88">
        <v>736.84210526315792</v>
      </c>
      <c r="BF78" s="89">
        <v>740.83333333333314</v>
      </c>
      <c r="BG78" s="90">
        <v>746.65558333333308</v>
      </c>
      <c r="BI78" s="100">
        <v>2105.2631578947371</v>
      </c>
      <c r="BJ78" s="101">
        <v>2333.333333333333</v>
      </c>
      <c r="BK78" s="102">
        <v>2403.3333333333335</v>
      </c>
      <c r="BM78" s="88">
        <v>50</v>
      </c>
      <c r="BN78" s="89">
        <v>53.802588996763745</v>
      </c>
      <c r="BO78" s="90">
        <v>52.777777777777779</v>
      </c>
      <c r="BP78" s="91">
        <v>7.6051779935274899E-2</v>
      </c>
      <c r="BQ78" s="92">
        <v>-1.9047619047618869E-2</v>
      </c>
      <c r="BR78" s="366">
        <v>1.1025358324145534E-2</v>
      </c>
      <c r="BS78" s="367">
        <v>1.116136090661967E-2</v>
      </c>
      <c r="BT78" s="94">
        <v>1.1085477346132314E-2</v>
      </c>
      <c r="BV78" s="88">
        <v>20</v>
      </c>
      <c r="BW78" s="282">
        <v>20</v>
      </c>
      <c r="BX78" s="103">
        <v>0</v>
      </c>
      <c r="BY78" s="88">
        <v>20</v>
      </c>
      <c r="BZ78" s="282">
        <v>15483.009369846382</v>
      </c>
      <c r="CA78" s="103">
        <v>773.15046849231908</v>
      </c>
      <c r="CB78" s="282">
        <v>25</v>
      </c>
      <c r="CC78" s="282">
        <v>22.619047619047628</v>
      </c>
      <c r="CD78" s="103">
        <v>-9.52380952380949E-2</v>
      </c>
      <c r="CF78" s="115">
        <v>15516.811958843145</v>
      </c>
      <c r="CG78" s="102">
        <v>229907.43052352592</v>
      </c>
      <c r="CH78" s="252">
        <v>3.4629104824906326E-3</v>
      </c>
      <c r="CI78" s="115">
        <v>50.396825396825406</v>
      </c>
      <c r="CJ78" s="102">
        <v>7525.8142129629614</v>
      </c>
      <c r="CK78" s="308">
        <v>0.7</v>
      </c>
      <c r="CM78" s="290">
        <v>2.5</v>
      </c>
      <c r="CN78" s="291">
        <v>6.9409219478910591E-3</v>
      </c>
      <c r="CO78" s="292">
        <v>2.2166666666666663</v>
      </c>
    </row>
    <row r="79" spans="2:93" ht="13.5" customHeight="1" outlineLevel="1" x14ac:dyDescent="0.25">
      <c r="B79" s="23" t="s">
        <v>50</v>
      </c>
      <c r="C79" s="23" t="s">
        <v>35</v>
      </c>
      <c r="D79" s="23" t="s">
        <v>58</v>
      </c>
      <c r="E79" s="24" t="s">
        <v>59</v>
      </c>
      <c r="F79" s="450">
        <v>400</v>
      </c>
      <c r="G79" s="25">
        <v>420</v>
      </c>
      <c r="H79" s="30">
        <v>432.6</v>
      </c>
      <c r="I79" s="106"/>
      <c r="J79" s="107"/>
      <c r="K79" s="108">
        <v>0.05</v>
      </c>
      <c r="L79" s="108">
        <v>0.03</v>
      </c>
      <c r="M79" s="391">
        <v>2.7045300878972278E-3</v>
      </c>
      <c r="N79" s="392">
        <v>2.7136165401389113E-3</v>
      </c>
      <c r="O79" s="393">
        <v>2.690410607904683E-3</v>
      </c>
      <c r="Q79" s="457">
        <v>0.65</v>
      </c>
      <c r="R79" s="343">
        <v>0.68250000000000011</v>
      </c>
      <c r="S79" s="356">
        <v>0.68932500000000008</v>
      </c>
      <c r="T79" s="36">
        <v>0.05</v>
      </c>
      <c r="U79" s="35">
        <v>0.01</v>
      </c>
      <c r="V79" s="29"/>
      <c r="W79" s="463">
        <v>0.05</v>
      </c>
      <c r="X79" s="482">
        <v>0.1</v>
      </c>
      <c r="Y79" s="378">
        <v>0.1</v>
      </c>
      <c r="AA79" s="400">
        <v>0.63157894736842102</v>
      </c>
      <c r="AB79" s="392">
        <v>0.64722222222222237</v>
      </c>
      <c r="AC79" s="393">
        <v>0.65480555555555564</v>
      </c>
      <c r="AD79" s="15"/>
      <c r="AE79" s="38">
        <v>42.10526315789474</v>
      </c>
      <c r="AF79" s="62">
        <v>43.368421052631582</v>
      </c>
      <c r="AG79" s="69">
        <v>45.536842105263162</v>
      </c>
      <c r="AH79" s="36">
        <v>0.03</v>
      </c>
      <c r="AI79" s="35">
        <v>0.05</v>
      </c>
      <c r="AJ79" s="15"/>
      <c r="AK79" s="38">
        <v>50.526315789473685</v>
      </c>
      <c r="AL79" s="62">
        <v>52.0421052631579</v>
      </c>
      <c r="AM79" s="69">
        <v>54.644210526315796</v>
      </c>
      <c r="AN79" s="438">
        <v>0.03</v>
      </c>
      <c r="AO79" s="433">
        <v>0.05</v>
      </c>
      <c r="AQ79" s="38">
        <v>40</v>
      </c>
      <c r="AR79" s="64">
        <v>39.031578947368423</v>
      </c>
      <c r="AS79" s="65">
        <v>40.983157894736848</v>
      </c>
      <c r="AT79" s="26">
        <v>-2.421052631578946E-2</v>
      </c>
      <c r="AU79" s="28">
        <v>5.0000000000000044E-2</v>
      </c>
      <c r="AW79" s="41">
        <v>21.052631578947398</v>
      </c>
      <c r="AX79" s="25">
        <v>46.666666666666629</v>
      </c>
      <c r="AY79" s="30">
        <v>48.066666666666663</v>
      </c>
      <c r="BA79" s="41">
        <v>252.63157894736841</v>
      </c>
      <c r="BB79" s="25">
        <v>271.83333333333337</v>
      </c>
      <c r="BC79" s="30">
        <v>283.26888333333341</v>
      </c>
      <c r="BE79" s="42">
        <v>147.36842105263159</v>
      </c>
      <c r="BF79" s="25">
        <v>148.16666666666663</v>
      </c>
      <c r="BG79" s="30">
        <v>149.33111666666662</v>
      </c>
      <c r="BI79" s="43">
        <v>421.0526315789474</v>
      </c>
      <c r="BJ79" s="44">
        <v>466.66666666666663</v>
      </c>
      <c r="BK79" s="45">
        <v>480.66666666666669</v>
      </c>
      <c r="BM79" s="450">
        <v>10</v>
      </c>
      <c r="BN79" s="25">
        <v>10.760517799352749</v>
      </c>
      <c r="BO79" s="30">
        <v>10.555555555555555</v>
      </c>
      <c r="BP79" s="26">
        <v>7.6051779935274899E-2</v>
      </c>
      <c r="BQ79" s="28">
        <v>-1.904761904761898E-2</v>
      </c>
      <c r="BR79" s="391">
        <v>2.205071664829107E-3</v>
      </c>
      <c r="BS79" s="392">
        <v>2.2322721813239342E-3</v>
      </c>
      <c r="BT79" s="393">
        <v>2.2170954692264629E-3</v>
      </c>
      <c r="BV79" s="450">
        <v>4</v>
      </c>
      <c r="BW79" s="470">
        <v>4</v>
      </c>
      <c r="BX79" s="46">
        <v>0</v>
      </c>
      <c r="BY79" s="450">
        <v>4</v>
      </c>
      <c r="BZ79" s="243">
        <v>3096.6018739692763</v>
      </c>
      <c r="CA79" s="46">
        <v>773.15046849231908</v>
      </c>
      <c r="CB79" s="109">
        <v>5</v>
      </c>
      <c r="CC79" s="243">
        <v>4.5238095238095255</v>
      </c>
      <c r="CD79" s="46">
        <v>-9.52380952380949E-2</v>
      </c>
      <c r="CF79" s="474">
        <v>3103.3623917686291</v>
      </c>
      <c r="CG79" s="477">
        <v>45981.486104705182</v>
      </c>
      <c r="CH79" s="234">
        <v>3.4629104824906326E-3</v>
      </c>
      <c r="CI79" s="49">
        <v>10.079365079365081</v>
      </c>
      <c r="CJ79" s="45">
        <v>1505.1628425925924</v>
      </c>
      <c r="CK79" s="249">
        <v>0.7</v>
      </c>
      <c r="CM79" s="214">
        <v>2.5</v>
      </c>
      <c r="CN79" s="51">
        <v>6.94092194789106E-3</v>
      </c>
      <c r="CO79" s="226">
        <v>2.2166666666666663</v>
      </c>
    </row>
    <row r="80" spans="2:93" ht="13.5" customHeight="1" outlineLevel="1" x14ac:dyDescent="0.25">
      <c r="B80" s="53"/>
      <c r="C80" s="53"/>
      <c r="D80" s="53"/>
      <c r="E80" s="24" t="s">
        <v>60</v>
      </c>
      <c r="F80" s="451">
        <v>400</v>
      </c>
      <c r="G80" s="54">
        <v>420</v>
      </c>
      <c r="H80" s="55">
        <v>432.6</v>
      </c>
      <c r="I80" s="110"/>
      <c r="J80" s="111"/>
      <c r="K80" s="112">
        <v>0.05</v>
      </c>
      <c r="L80" s="112">
        <v>0.03</v>
      </c>
      <c r="M80" s="394">
        <v>2.7045300878972278E-3</v>
      </c>
      <c r="N80" s="395">
        <v>2.7136165401389113E-3</v>
      </c>
      <c r="O80" s="396">
        <v>2.690410607904683E-3</v>
      </c>
      <c r="P80" s="29"/>
      <c r="Q80" s="458">
        <v>0.65</v>
      </c>
      <c r="R80" s="343">
        <v>0.68250000000000011</v>
      </c>
      <c r="S80" s="356">
        <v>0.68932500000000008</v>
      </c>
      <c r="T80" s="61">
        <v>0.05</v>
      </c>
      <c r="U80" s="37">
        <v>0.01</v>
      </c>
      <c r="W80" s="464">
        <v>0.05</v>
      </c>
      <c r="X80" s="483">
        <v>0.1</v>
      </c>
      <c r="Y80" s="374">
        <v>0.1</v>
      </c>
      <c r="AA80" s="401">
        <v>0.63157894736842102</v>
      </c>
      <c r="AB80" s="395">
        <v>0.64722222222222237</v>
      </c>
      <c r="AC80" s="396">
        <v>0.65480555555555564</v>
      </c>
      <c r="AD80" s="15"/>
      <c r="AE80" s="63">
        <v>42.10526315789474</v>
      </c>
      <c r="AF80" s="62">
        <v>43.368421052631582</v>
      </c>
      <c r="AG80" s="69">
        <v>45.536842105263162</v>
      </c>
      <c r="AH80" s="61">
        <v>0.03</v>
      </c>
      <c r="AI80" s="37">
        <v>0.05</v>
      </c>
      <c r="AJ80" s="15"/>
      <c r="AK80" s="63">
        <v>50.526315789473685</v>
      </c>
      <c r="AL80" s="62">
        <v>52.0421052631579</v>
      </c>
      <c r="AM80" s="69">
        <v>54.644210526315796</v>
      </c>
      <c r="AN80" s="439">
        <v>0.03</v>
      </c>
      <c r="AO80" s="435">
        <v>0.05</v>
      </c>
      <c r="AQ80" s="63">
        <v>40</v>
      </c>
      <c r="AR80" s="64">
        <v>39.031578947368423</v>
      </c>
      <c r="AS80" s="65">
        <v>40.983157894736848</v>
      </c>
      <c r="AT80" s="56">
        <v>-2.421052631578946E-2</v>
      </c>
      <c r="AU80" s="27">
        <v>5.0000000000000044E-2</v>
      </c>
      <c r="AW80" s="66">
        <v>21.052631578947398</v>
      </c>
      <c r="AX80" s="54">
        <v>46.666666666666629</v>
      </c>
      <c r="AY80" s="55">
        <v>48.066666666666663</v>
      </c>
      <c r="BA80" s="66">
        <v>252.63157894736841</v>
      </c>
      <c r="BB80" s="54">
        <v>271.83333333333337</v>
      </c>
      <c r="BC80" s="55">
        <v>283.26888333333341</v>
      </c>
      <c r="BE80" s="67">
        <v>147.36842105263159</v>
      </c>
      <c r="BF80" s="54">
        <v>148.16666666666663</v>
      </c>
      <c r="BG80" s="55">
        <v>149.33111666666662</v>
      </c>
      <c r="BI80" s="68">
        <v>421.0526315789474</v>
      </c>
      <c r="BJ80" s="62">
        <v>466.66666666666663</v>
      </c>
      <c r="BK80" s="69">
        <v>480.66666666666669</v>
      </c>
      <c r="BM80" s="451">
        <v>10</v>
      </c>
      <c r="BN80" s="54">
        <v>10.760517799352749</v>
      </c>
      <c r="BO80" s="55">
        <v>10.555555555555555</v>
      </c>
      <c r="BP80" s="56">
        <v>7.6051779935274899E-2</v>
      </c>
      <c r="BQ80" s="27">
        <v>-1.904761904761898E-2</v>
      </c>
      <c r="BR80" s="394">
        <v>2.205071664829107E-3</v>
      </c>
      <c r="BS80" s="395">
        <v>2.2322721813239342E-3</v>
      </c>
      <c r="BT80" s="396">
        <v>2.2170954692264629E-3</v>
      </c>
      <c r="BV80" s="451">
        <v>4</v>
      </c>
      <c r="BW80" s="469">
        <v>4</v>
      </c>
      <c r="BX80" s="70">
        <v>0</v>
      </c>
      <c r="BY80" s="451">
        <v>4</v>
      </c>
      <c r="BZ80" s="71">
        <v>3096.6018739692763</v>
      </c>
      <c r="CA80" s="70">
        <v>773.15046849231908</v>
      </c>
      <c r="CB80" s="113">
        <v>5</v>
      </c>
      <c r="CC80" s="71">
        <v>4.5238095238095255</v>
      </c>
      <c r="CD80" s="70">
        <v>-9.52380952380949E-2</v>
      </c>
      <c r="CF80" s="475">
        <v>3103.3623917686291</v>
      </c>
      <c r="CG80" s="478">
        <v>45981.486104705182</v>
      </c>
      <c r="CH80" s="235">
        <v>3.4629104824906326E-3</v>
      </c>
      <c r="CI80" s="72">
        <v>10.079365079365081</v>
      </c>
      <c r="CJ80" s="69">
        <v>1505.1628425925924</v>
      </c>
      <c r="CK80" s="250">
        <v>0.7</v>
      </c>
      <c r="CM80" s="215">
        <v>2.5</v>
      </c>
      <c r="CN80" s="216">
        <v>6.94092194789106E-3</v>
      </c>
      <c r="CO80" s="217">
        <v>2.2166666666666663</v>
      </c>
    </row>
    <row r="81" spans="2:93" ht="13.5" customHeight="1" outlineLevel="1" x14ac:dyDescent="0.25">
      <c r="B81" s="53"/>
      <c r="C81" s="53"/>
      <c r="D81" s="53"/>
      <c r="E81" s="24" t="s">
        <v>61</v>
      </c>
      <c r="F81" s="451">
        <v>400</v>
      </c>
      <c r="G81" s="54">
        <v>420</v>
      </c>
      <c r="H81" s="55">
        <v>432.6</v>
      </c>
      <c r="I81" s="110"/>
      <c r="J81" s="111"/>
      <c r="K81" s="112">
        <v>0.05</v>
      </c>
      <c r="L81" s="112">
        <v>0.03</v>
      </c>
      <c r="M81" s="394">
        <v>2.7045300878972278E-3</v>
      </c>
      <c r="N81" s="395">
        <v>2.7136165401389113E-3</v>
      </c>
      <c r="O81" s="396">
        <v>2.690410607904683E-3</v>
      </c>
      <c r="P81" s="29"/>
      <c r="Q81" s="458">
        <v>0.65</v>
      </c>
      <c r="R81" s="343">
        <v>0.68250000000000011</v>
      </c>
      <c r="S81" s="356">
        <v>0.68932500000000008</v>
      </c>
      <c r="T81" s="61">
        <v>0.05</v>
      </c>
      <c r="U81" s="37">
        <v>0.01</v>
      </c>
      <c r="W81" s="464">
        <v>0.05</v>
      </c>
      <c r="X81" s="483">
        <v>0.1</v>
      </c>
      <c r="Y81" s="374">
        <v>0.1</v>
      </c>
      <c r="AA81" s="401">
        <v>0.63157894736842102</v>
      </c>
      <c r="AB81" s="395">
        <v>0.64722222222222237</v>
      </c>
      <c r="AC81" s="396">
        <v>0.65480555555555564</v>
      </c>
      <c r="AD81" s="15"/>
      <c r="AE81" s="63">
        <v>42.10526315789474</v>
      </c>
      <c r="AF81" s="62">
        <v>43.368421052631582</v>
      </c>
      <c r="AG81" s="69">
        <v>45.536842105263162</v>
      </c>
      <c r="AH81" s="61">
        <v>0.03</v>
      </c>
      <c r="AI81" s="37">
        <v>0.05</v>
      </c>
      <c r="AJ81" s="15"/>
      <c r="AK81" s="63">
        <v>50.526315789473685</v>
      </c>
      <c r="AL81" s="62">
        <v>52.0421052631579</v>
      </c>
      <c r="AM81" s="69">
        <v>54.644210526315796</v>
      </c>
      <c r="AN81" s="439">
        <v>0.03</v>
      </c>
      <c r="AO81" s="435">
        <v>0.05</v>
      </c>
      <c r="AQ81" s="63">
        <v>40</v>
      </c>
      <c r="AR81" s="64">
        <v>39.031578947368423</v>
      </c>
      <c r="AS81" s="65">
        <v>40.983157894736848</v>
      </c>
      <c r="AT81" s="56">
        <v>-2.421052631578946E-2</v>
      </c>
      <c r="AU81" s="27">
        <v>5.0000000000000044E-2</v>
      </c>
      <c r="AW81" s="66">
        <v>21.052631578947398</v>
      </c>
      <c r="AX81" s="54">
        <v>46.666666666666629</v>
      </c>
      <c r="AY81" s="55">
        <v>48.066666666666663</v>
      </c>
      <c r="BA81" s="66">
        <v>252.63157894736841</v>
      </c>
      <c r="BB81" s="54">
        <v>271.83333333333337</v>
      </c>
      <c r="BC81" s="55">
        <v>283.26888333333341</v>
      </c>
      <c r="BE81" s="67">
        <v>147.36842105263159</v>
      </c>
      <c r="BF81" s="54">
        <v>148.16666666666663</v>
      </c>
      <c r="BG81" s="55">
        <v>149.33111666666662</v>
      </c>
      <c r="BI81" s="68">
        <v>421.0526315789474</v>
      </c>
      <c r="BJ81" s="62">
        <v>466.66666666666663</v>
      </c>
      <c r="BK81" s="69">
        <v>480.66666666666669</v>
      </c>
      <c r="BM81" s="451">
        <v>10</v>
      </c>
      <c r="BN81" s="54">
        <v>10.760517799352749</v>
      </c>
      <c r="BO81" s="55">
        <v>10.555555555555555</v>
      </c>
      <c r="BP81" s="56">
        <v>7.6051779935274899E-2</v>
      </c>
      <c r="BQ81" s="27">
        <v>-1.904761904761898E-2</v>
      </c>
      <c r="BR81" s="394">
        <v>2.205071664829107E-3</v>
      </c>
      <c r="BS81" s="395">
        <v>2.2322721813239342E-3</v>
      </c>
      <c r="BT81" s="396">
        <v>2.2170954692264629E-3</v>
      </c>
      <c r="BV81" s="451">
        <v>4</v>
      </c>
      <c r="BW81" s="469">
        <v>4</v>
      </c>
      <c r="BX81" s="70">
        <v>0</v>
      </c>
      <c r="BY81" s="451">
        <v>4</v>
      </c>
      <c r="BZ81" s="71">
        <v>3096.6018739692763</v>
      </c>
      <c r="CA81" s="70">
        <v>773.15046849231908</v>
      </c>
      <c r="CB81" s="113">
        <v>5</v>
      </c>
      <c r="CC81" s="71">
        <v>4.5238095238095255</v>
      </c>
      <c r="CD81" s="70">
        <v>-9.52380952380949E-2</v>
      </c>
      <c r="CF81" s="475">
        <v>3103.3623917686291</v>
      </c>
      <c r="CG81" s="478">
        <v>45981.486104705182</v>
      </c>
      <c r="CH81" s="235">
        <v>3.4629104824906326E-3</v>
      </c>
      <c r="CI81" s="72">
        <v>10.079365079365081</v>
      </c>
      <c r="CJ81" s="69">
        <v>1505.1628425925924</v>
      </c>
      <c r="CK81" s="250">
        <v>0.7</v>
      </c>
      <c r="CM81" s="215">
        <v>2.5</v>
      </c>
      <c r="CN81" s="216">
        <v>6.94092194789106E-3</v>
      </c>
      <c r="CO81" s="217">
        <v>2.2166666666666663</v>
      </c>
    </row>
    <row r="82" spans="2:93" ht="13.5" customHeight="1" outlineLevel="1" x14ac:dyDescent="0.25">
      <c r="B82" s="53"/>
      <c r="C82" s="53"/>
      <c r="D82" s="53"/>
      <c r="E82" s="24" t="s">
        <v>62</v>
      </c>
      <c r="F82" s="451">
        <v>400</v>
      </c>
      <c r="G82" s="54">
        <v>420</v>
      </c>
      <c r="H82" s="55">
        <v>432.6</v>
      </c>
      <c r="I82" s="110"/>
      <c r="J82" s="111"/>
      <c r="K82" s="112">
        <v>0.05</v>
      </c>
      <c r="L82" s="112">
        <v>0.03</v>
      </c>
      <c r="M82" s="394">
        <v>2.7045300878972278E-3</v>
      </c>
      <c r="N82" s="395">
        <v>2.7136165401389113E-3</v>
      </c>
      <c r="O82" s="396">
        <v>2.690410607904683E-3</v>
      </c>
      <c r="P82" s="114"/>
      <c r="Q82" s="458">
        <v>0.65</v>
      </c>
      <c r="R82" s="343">
        <v>0.68250000000000011</v>
      </c>
      <c r="S82" s="356">
        <v>0.68932500000000008</v>
      </c>
      <c r="T82" s="61">
        <v>0.05</v>
      </c>
      <c r="U82" s="37">
        <v>0.01</v>
      </c>
      <c r="W82" s="464">
        <v>0.05</v>
      </c>
      <c r="X82" s="483">
        <v>0.1</v>
      </c>
      <c r="Y82" s="374">
        <v>0.1</v>
      </c>
      <c r="AA82" s="401">
        <v>0.63157894736842102</v>
      </c>
      <c r="AB82" s="395">
        <v>0.64722222222222237</v>
      </c>
      <c r="AC82" s="396">
        <v>0.65480555555555564</v>
      </c>
      <c r="AD82" s="15"/>
      <c r="AE82" s="63">
        <v>42.10526315789474</v>
      </c>
      <c r="AF82" s="62">
        <v>43.368421052631582</v>
      </c>
      <c r="AG82" s="69">
        <v>45.536842105263162</v>
      </c>
      <c r="AH82" s="61">
        <v>0.03</v>
      </c>
      <c r="AI82" s="37">
        <v>0.05</v>
      </c>
      <c r="AJ82" s="15"/>
      <c r="AK82" s="63">
        <v>50.526315789473685</v>
      </c>
      <c r="AL82" s="62">
        <v>52.0421052631579</v>
      </c>
      <c r="AM82" s="69">
        <v>54.644210526315796</v>
      </c>
      <c r="AN82" s="439">
        <v>0.03</v>
      </c>
      <c r="AO82" s="435">
        <v>0.05</v>
      </c>
      <c r="AQ82" s="63">
        <v>40</v>
      </c>
      <c r="AR82" s="64">
        <v>39.031578947368423</v>
      </c>
      <c r="AS82" s="65">
        <v>40.983157894736848</v>
      </c>
      <c r="AT82" s="56">
        <v>-2.421052631578946E-2</v>
      </c>
      <c r="AU82" s="27">
        <v>5.0000000000000044E-2</v>
      </c>
      <c r="AW82" s="66">
        <v>21.052631578947398</v>
      </c>
      <c r="AX82" s="54">
        <v>46.666666666666629</v>
      </c>
      <c r="AY82" s="55">
        <v>48.066666666666663</v>
      </c>
      <c r="BA82" s="66">
        <v>252.63157894736841</v>
      </c>
      <c r="BB82" s="54">
        <v>271.83333333333337</v>
      </c>
      <c r="BC82" s="55">
        <v>283.26888333333341</v>
      </c>
      <c r="BE82" s="67">
        <v>147.36842105263159</v>
      </c>
      <c r="BF82" s="54">
        <v>148.16666666666663</v>
      </c>
      <c r="BG82" s="55">
        <v>149.33111666666662</v>
      </c>
      <c r="BI82" s="68">
        <v>421.0526315789474</v>
      </c>
      <c r="BJ82" s="62">
        <v>466.66666666666663</v>
      </c>
      <c r="BK82" s="69">
        <v>480.66666666666669</v>
      </c>
      <c r="BM82" s="451">
        <v>10</v>
      </c>
      <c r="BN82" s="54">
        <v>10.760517799352749</v>
      </c>
      <c r="BO82" s="55">
        <v>10.555555555555555</v>
      </c>
      <c r="BP82" s="56">
        <v>7.6051779935274899E-2</v>
      </c>
      <c r="BQ82" s="27">
        <v>-1.904761904761898E-2</v>
      </c>
      <c r="BR82" s="394">
        <v>2.205071664829107E-3</v>
      </c>
      <c r="BS82" s="395">
        <v>2.2322721813239342E-3</v>
      </c>
      <c r="BT82" s="396">
        <v>2.2170954692264629E-3</v>
      </c>
      <c r="BV82" s="451">
        <v>4</v>
      </c>
      <c r="BW82" s="469">
        <v>4</v>
      </c>
      <c r="BX82" s="70">
        <v>0</v>
      </c>
      <c r="BY82" s="451">
        <v>4</v>
      </c>
      <c r="BZ82" s="71">
        <v>3096.6018739692763</v>
      </c>
      <c r="CA82" s="70">
        <v>773.15046849231908</v>
      </c>
      <c r="CB82" s="113">
        <v>5</v>
      </c>
      <c r="CC82" s="71">
        <v>4.5238095238095255</v>
      </c>
      <c r="CD82" s="70">
        <v>-9.52380952380949E-2</v>
      </c>
      <c r="CF82" s="475">
        <v>3103.3623917686291</v>
      </c>
      <c r="CG82" s="478">
        <v>45981.486104705182</v>
      </c>
      <c r="CH82" s="235">
        <v>3.4629104824906326E-3</v>
      </c>
      <c r="CI82" s="72">
        <v>10.079365079365081</v>
      </c>
      <c r="CJ82" s="69">
        <v>1505.1628425925924</v>
      </c>
      <c r="CK82" s="250">
        <v>0.7</v>
      </c>
      <c r="CM82" s="215">
        <v>2.5</v>
      </c>
      <c r="CN82" s="216">
        <v>6.94092194789106E-3</v>
      </c>
      <c r="CO82" s="217">
        <v>2.2166666666666663</v>
      </c>
    </row>
    <row r="83" spans="2:93" ht="13.5" customHeight="1" outlineLevel="1" x14ac:dyDescent="0.25">
      <c r="B83" s="53"/>
      <c r="C83" s="53"/>
      <c r="D83" s="53"/>
      <c r="E83" s="24" t="s">
        <v>63</v>
      </c>
      <c r="F83" s="451">
        <v>400</v>
      </c>
      <c r="G83" s="54">
        <v>420</v>
      </c>
      <c r="H83" s="55">
        <v>432.6</v>
      </c>
      <c r="I83" s="110"/>
      <c r="J83" s="111"/>
      <c r="K83" s="112">
        <v>0.05</v>
      </c>
      <c r="L83" s="112">
        <v>0.03</v>
      </c>
      <c r="M83" s="394">
        <v>2.7045300878972278E-3</v>
      </c>
      <c r="N83" s="395">
        <v>2.7136165401389113E-3</v>
      </c>
      <c r="O83" s="396">
        <v>2.690410607904683E-3</v>
      </c>
      <c r="Q83" s="458">
        <v>0.65</v>
      </c>
      <c r="R83" s="343">
        <v>0.68250000000000011</v>
      </c>
      <c r="S83" s="356">
        <v>0.68932500000000008</v>
      </c>
      <c r="T83" s="61">
        <v>0.05</v>
      </c>
      <c r="U83" s="37">
        <v>0.01</v>
      </c>
      <c r="W83" s="464">
        <v>0.05</v>
      </c>
      <c r="X83" s="483">
        <v>0.1</v>
      </c>
      <c r="Y83" s="374">
        <v>0.1</v>
      </c>
      <c r="AA83" s="401">
        <v>0.63157894736842102</v>
      </c>
      <c r="AB83" s="395">
        <v>0.64722222222222237</v>
      </c>
      <c r="AC83" s="396">
        <v>0.65480555555555564</v>
      </c>
      <c r="AD83" s="15"/>
      <c r="AE83" s="63">
        <v>42.10526315789474</v>
      </c>
      <c r="AF83" s="62">
        <v>43.368421052631582</v>
      </c>
      <c r="AG83" s="69">
        <v>45.536842105263162</v>
      </c>
      <c r="AH83" s="61">
        <v>0.03</v>
      </c>
      <c r="AI83" s="37">
        <v>0.05</v>
      </c>
      <c r="AJ83" s="15"/>
      <c r="AK83" s="63">
        <v>50.526315789473685</v>
      </c>
      <c r="AL83" s="62">
        <v>52.0421052631579</v>
      </c>
      <c r="AM83" s="69">
        <v>54.644210526315796</v>
      </c>
      <c r="AN83" s="439">
        <v>0.03</v>
      </c>
      <c r="AO83" s="435">
        <v>0.05</v>
      </c>
      <c r="AQ83" s="63">
        <v>40</v>
      </c>
      <c r="AR83" s="64">
        <v>39.031578947368423</v>
      </c>
      <c r="AS83" s="65">
        <v>40.983157894736848</v>
      </c>
      <c r="AT83" s="56">
        <v>-2.421052631578946E-2</v>
      </c>
      <c r="AU83" s="27">
        <v>5.0000000000000044E-2</v>
      </c>
      <c r="AW83" s="66">
        <v>21.052631578947398</v>
      </c>
      <c r="AX83" s="54">
        <v>46.666666666666629</v>
      </c>
      <c r="AY83" s="55">
        <v>48.066666666666663</v>
      </c>
      <c r="BA83" s="66">
        <v>252.63157894736841</v>
      </c>
      <c r="BB83" s="54">
        <v>271.83333333333337</v>
      </c>
      <c r="BC83" s="55">
        <v>283.26888333333341</v>
      </c>
      <c r="BE83" s="67">
        <v>147.36842105263159</v>
      </c>
      <c r="BF83" s="54">
        <v>148.16666666666663</v>
      </c>
      <c r="BG83" s="55">
        <v>149.33111666666662</v>
      </c>
      <c r="BI83" s="68">
        <v>421.0526315789474</v>
      </c>
      <c r="BJ83" s="62">
        <v>466.66666666666663</v>
      </c>
      <c r="BK83" s="69">
        <v>480.66666666666669</v>
      </c>
      <c r="BM83" s="451">
        <v>10</v>
      </c>
      <c r="BN83" s="54">
        <v>10.760517799352749</v>
      </c>
      <c r="BO83" s="55">
        <v>10.555555555555555</v>
      </c>
      <c r="BP83" s="56">
        <v>7.6051779935274899E-2</v>
      </c>
      <c r="BQ83" s="27">
        <v>-1.904761904761898E-2</v>
      </c>
      <c r="BR83" s="394">
        <v>2.205071664829107E-3</v>
      </c>
      <c r="BS83" s="395">
        <v>2.2322721813239342E-3</v>
      </c>
      <c r="BT83" s="396">
        <v>2.2170954692264629E-3</v>
      </c>
      <c r="BV83" s="451">
        <v>4</v>
      </c>
      <c r="BW83" s="469">
        <v>4</v>
      </c>
      <c r="BX83" s="70">
        <v>0</v>
      </c>
      <c r="BY83" s="451">
        <v>4</v>
      </c>
      <c r="BZ83" s="71">
        <v>3096.6018739692763</v>
      </c>
      <c r="CA83" s="70">
        <v>773.15046849231908</v>
      </c>
      <c r="CB83" s="113">
        <v>5</v>
      </c>
      <c r="CC83" s="71">
        <v>4.5238095238095255</v>
      </c>
      <c r="CD83" s="70">
        <v>-9.52380952380949E-2</v>
      </c>
      <c r="CF83" s="475">
        <v>3103.3623917686291</v>
      </c>
      <c r="CG83" s="478">
        <v>45981.486104705182</v>
      </c>
      <c r="CH83" s="235">
        <v>3.4629104824906326E-3</v>
      </c>
      <c r="CI83" s="72">
        <v>10.079365079365081</v>
      </c>
      <c r="CJ83" s="69">
        <v>1505.1628425925924</v>
      </c>
      <c r="CK83" s="250">
        <v>0.7</v>
      </c>
      <c r="CM83" s="215">
        <v>2.5</v>
      </c>
      <c r="CN83" s="216">
        <v>6.94092194789106E-3</v>
      </c>
      <c r="CO83" s="217">
        <v>2.2166666666666663</v>
      </c>
    </row>
    <row r="84" spans="2:93" ht="13.5" customHeight="1" x14ac:dyDescent="0.25">
      <c r="B84" s="540" t="s">
        <v>67</v>
      </c>
      <c r="C84" s="540"/>
      <c r="D84" s="540"/>
      <c r="E84" s="540"/>
      <c r="F84" s="88">
        <v>2000</v>
      </c>
      <c r="G84" s="89">
        <v>2100</v>
      </c>
      <c r="H84" s="90">
        <v>2163</v>
      </c>
      <c r="I84" s="90"/>
      <c r="J84" s="92"/>
      <c r="K84" s="92">
        <v>5.0000000000000044E-2</v>
      </c>
      <c r="L84" s="92">
        <v>3.0000000000000027E-2</v>
      </c>
      <c r="M84" s="366">
        <v>1.3522650439486139E-2</v>
      </c>
      <c r="N84" s="367">
        <v>1.3568082700694557E-2</v>
      </c>
      <c r="O84" s="94">
        <v>1.3452053039523414E-2</v>
      </c>
      <c r="Q84" s="345">
        <v>0.68157894736842117</v>
      </c>
      <c r="R84" s="346">
        <v>0.74722222222222223</v>
      </c>
      <c r="S84" s="349">
        <v>0.75480555555555584</v>
      </c>
      <c r="T84" s="93">
        <v>9.631059631059613E-2</v>
      </c>
      <c r="U84" s="92">
        <v>1.0148698884758778E-2</v>
      </c>
      <c r="V84" s="13"/>
      <c r="W84" s="375">
        <v>5.0000000000000121E-2</v>
      </c>
      <c r="X84" s="376">
        <v>9.9999999999999881E-2</v>
      </c>
      <c r="Y84" s="377">
        <v>0.10000000000000006</v>
      </c>
      <c r="AA84" s="366">
        <v>0.63157894736842102</v>
      </c>
      <c r="AB84" s="367">
        <v>0.64722222222222237</v>
      </c>
      <c r="AC84" s="94">
        <v>0.65480555555555575</v>
      </c>
      <c r="AD84" s="15"/>
      <c r="AE84" s="95">
        <v>39.999999999999993</v>
      </c>
      <c r="AF84" s="96">
        <v>41.199999999999996</v>
      </c>
      <c r="AG84" s="99">
        <v>43.26</v>
      </c>
      <c r="AH84" s="93">
        <v>0.03</v>
      </c>
      <c r="AI84" s="92">
        <v>0.05</v>
      </c>
      <c r="AJ84" s="15"/>
      <c r="AK84" s="95">
        <v>47.999999999999993</v>
      </c>
      <c r="AL84" s="96">
        <v>49.439999999999991</v>
      </c>
      <c r="AM84" s="99">
        <v>51.911999999999999</v>
      </c>
      <c r="AN84" s="93">
        <v>0.03</v>
      </c>
      <c r="AO84" s="92">
        <v>0.05</v>
      </c>
      <c r="AQ84" s="95">
        <v>40</v>
      </c>
      <c r="AR84" s="96">
        <v>39.03157894736843</v>
      </c>
      <c r="AS84" s="99">
        <v>40.983157894736841</v>
      </c>
      <c r="AT84" s="91">
        <v>-2.4210526315789238E-2</v>
      </c>
      <c r="AU84" s="92">
        <v>4.9999999999999822E-2</v>
      </c>
      <c r="AW84" s="88">
        <v>105.26315789473699</v>
      </c>
      <c r="AX84" s="89">
        <v>233.33333333333314</v>
      </c>
      <c r="AY84" s="90">
        <v>240.33333333333331</v>
      </c>
      <c r="BA84" s="88">
        <v>1263.1578947368421</v>
      </c>
      <c r="BB84" s="89">
        <v>1359.166666666667</v>
      </c>
      <c r="BC84" s="90">
        <v>1416.344416666667</v>
      </c>
      <c r="BE84" s="88">
        <v>736.84210526315792</v>
      </c>
      <c r="BF84" s="89">
        <v>740.83333333333314</v>
      </c>
      <c r="BG84" s="90">
        <v>746.65558333333308</v>
      </c>
      <c r="BI84" s="100">
        <v>2105.2631578947371</v>
      </c>
      <c r="BJ84" s="101">
        <v>2333.333333333333</v>
      </c>
      <c r="BK84" s="102">
        <v>2403.3333333333335</v>
      </c>
      <c r="BM84" s="88">
        <v>50</v>
      </c>
      <c r="BN84" s="89">
        <v>53.802588996763745</v>
      </c>
      <c r="BO84" s="90">
        <v>52.777777777777779</v>
      </c>
      <c r="BP84" s="91">
        <v>7.6051779935274899E-2</v>
      </c>
      <c r="BQ84" s="92">
        <v>-1.9047619047618869E-2</v>
      </c>
      <c r="BR84" s="366">
        <v>1.1025358324145534E-2</v>
      </c>
      <c r="BS84" s="367">
        <v>1.116136090661967E-2</v>
      </c>
      <c r="BT84" s="94">
        <v>1.1085477346132314E-2</v>
      </c>
      <c r="BV84" s="88">
        <v>20</v>
      </c>
      <c r="BW84" s="282">
        <v>20</v>
      </c>
      <c r="BX84" s="103">
        <v>0</v>
      </c>
      <c r="BY84" s="88">
        <v>20</v>
      </c>
      <c r="BZ84" s="282">
        <v>15483.009369846382</v>
      </c>
      <c r="CA84" s="103">
        <v>773.15046849231908</v>
      </c>
      <c r="CB84" s="282">
        <v>25</v>
      </c>
      <c r="CC84" s="282">
        <v>22.619047619047628</v>
      </c>
      <c r="CD84" s="103">
        <v>-9.52380952380949E-2</v>
      </c>
      <c r="CF84" s="115">
        <v>15516.811958843145</v>
      </c>
      <c r="CG84" s="102">
        <v>229907.43052352592</v>
      </c>
      <c r="CH84" s="252">
        <v>3.4629104824906326E-3</v>
      </c>
      <c r="CI84" s="115">
        <v>50.396825396825406</v>
      </c>
      <c r="CJ84" s="102">
        <v>7525.8142129629614</v>
      </c>
      <c r="CK84" s="308">
        <v>0.7</v>
      </c>
      <c r="CM84" s="290">
        <v>2.5</v>
      </c>
      <c r="CN84" s="291">
        <v>6.9409219478910591E-3</v>
      </c>
      <c r="CO84" s="292">
        <v>2.2166666666666663</v>
      </c>
    </row>
    <row r="85" spans="2:93" ht="13.5" customHeight="1" x14ac:dyDescent="0.25">
      <c r="B85" s="541" t="s">
        <v>68</v>
      </c>
      <c r="C85" s="541"/>
      <c r="D85" s="541"/>
      <c r="E85" s="541"/>
      <c r="F85" s="4">
        <v>4000</v>
      </c>
      <c r="G85" s="5">
        <v>4200</v>
      </c>
      <c r="H85" s="6">
        <v>4326</v>
      </c>
      <c r="I85" s="6"/>
      <c r="J85" s="8"/>
      <c r="K85" s="8">
        <v>5.0000000000000044E-2</v>
      </c>
      <c r="L85" s="8">
        <v>3.0000000000000027E-2</v>
      </c>
      <c r="M85" s="402">
        <v>2.7045300878972278E-2</v>
      </c>
      <c r="N85" s="318">
        <v>2.7136165401389113E-2</v>
      </c>
      <c r="O85" s="9">
        <v>2.6904106079046829E-2</v>
      </c>
      <c r="Q85" s="347">
        <v>0.68157894736842117</v>
      </c>
      <c r="R85" s="348">
        <v>0.74722222222222223</v>
      </c>
      <c r="S85" s="350">
        <v>0.75480555555555584</v>
      </c>
      <c r="T85" s="14">
        <v>9.631059631059613E-2</v>
      </c>
      <c r="U85" s="8">
        <v>1.0148698884758778E-2</v>
      </c>
      <c r="V85" s="13"/>
      <c r="W85" s="379">
        <v>5.0000000000000121E-2</v>
      </c>
      <c r="X85" s="380">
        <v>9.9999999999999881E-2</v>
      </c>
      <c r="Y85" s="381">
        <v>0.10000000000000006</v>
      </c>
      <c r="AA85" s="402">
        <v>0.63157894736842102</v>
      </c>
      <c r="AB85" s="318">
        <v>0.64722222222222237</v>
      </c>
      <c r="AC85" s="9">
        <v>0.65480555555555575</v>
      </c>
      <c r="AD85" s="15"/>
      <c r="AE85" s="10">
        <v>39.999999999999993</v>
      </c>
      <c r="AF85" s="11">
        <v>41.199999999999996</v>
      </c>
      <c r="AG85" s="12">
        <v>43.26</v>
      </c>
      <c r="AH85" s="14">
        <v>0.03</v>
      </c>
      <c r="AI85" s="8">
        <v>0.05</v>
      </c>
      <c r="AJ85" s="15"/>
      <c r="AK85" s="10">
        <v>47.999999999999993</v>
      </c>
      <c r="AL85" s="11">
        <v>49.439999999999991</v>
      </c>
      <c r="AM85" s="12">
        <v>51.911999999999999</v>
      </c>
      <c r="AN85" s="14">
        <v>0.03</v>
      </c>
      <c r="AO85" s="8">
        <v>0.05</v>
      </c>
      <c r="AQ85" s="10">
        <v>40</v>
      </c>
      <c r="AR85" s="11">
        <v>39.03157894736843</v>
      </c>
      <c r="AS85" s="12">
        <v>40.983157894736841</v>
      </c>
      <c r="AT85" s="7">
        <v>-2.4210526315789238E-2</v>
      </c>
      <c r="AU85" s="8">
        <v>4.9999999999999822E-2</v>
      </c>
      <c r="AW85" s="4">
        <v>210.52631578947398</v>
      </c>
      <c r="AX85" s="5">
        <v>466.66666666666629</v>
      </c>
      <c r="AY85" s="6">
        <v>480.66666666666663</v>
      </c>
      <c r="BA85" s="4">
        <v>2526.3157894736842</v>
      </c>
      <c r="BB85" s="5">
        <v>2718.3333333333339</v>
      </c>
      <c r="BC85" s="6">
        <v>2832.6888333333341</v>
      </c>
      <c r="BE85" s="4">
        <v>1473.6842105263158</v>
      </c>
      <c r="BF85" s="5">
        <v>1481.6666666666663</v>
      </c>
      <c r="BG85" s="6">
        <v>1493.3111666666662</v>
      </c>
      <c r="BI85" s="116">
        <v>4210.5263157894742</v>
      </c>
      <c r="BJ85" s="16">
        <v>4666.6666666666661</v>
      </c>
      <c r="BK85" s="17">
        <v>4806.666666666667</v>
      </c>
      <c r="BM85" s="4">
        <v>100</v>
      </c>
      <c r="BN85" s="5">
        <v>107.60517799352749</v>
      </c>
      <c r="BO85" s="6">
        <v>105.55555555555556</v>
      </c>
      <c r="BP85" s="7">
        <v>7.6051779935274899E-2</v>
      </c>
      <c r="BQ85" s="8">
        <v>-1.9047619047618869E-2</v>
      </c>
      <c r="BR85" s="402">
        <v>2.2050716648291068E-2</v>
      </c>
      <c r="BS85" s="318">
        <v>2.2322721813239341E-2</v>
      </c>
      <c r="BT85" s="9">
        <v>2.2170954692264627E-2</v>
      </c>
      <c r="BV85" s="4">
        <v>40</v>
      </c>
      <c r="BW85" s="283">
        <v>40</v>
      </c>
      <c r="BX85" s="18">
        <v>0</v>
      </c>
      <c r="BY85" s="4">
        <v>40</v>
      </c>
      <c r="BZ85" s="283">
        <v>30966.018739692765</v>
      </c>
      <c r="CA85" s="18">
        <v>773.15046849231908</v>
      </c>
      <c r="CB85" s="283">
        <v>50</v>
      </c>
      <c r="CC85" s="283">
        <v>45.238095238095255</v>
      </c>
      <c r="CD85" s="18">
        <v>-9.52380952380949E-2</v>
      </c>
      <c r="CF85" s="117">
        <v>31033.623917686291</v>
      </c>
      <c r="CG85" s="17">
        <v>459814.86104705185</v>
      </c>
      <c r="CH85" s="253">
        <v>3.4629104824906326E-3</v>
      </c>
      <c r="CI85" s="117">
        <v>100.79365079365081</v>
      </c>
      <c r="CJ85" s="17">
        <v>15051.628425925923</v>
      </c>
      <c r="CK85" s="309">
        <v>0.7</v>
      </c>
      <c r="CM85" s="293">
        <v>2.5</v>
      </c>
      <c r="CN85" s="294">
        <v>6.9409219478910591E-3</v>
      </c>
      <c r="CO85" s="295">
        <v>2.2166666666666663</v>
      </c>
    </row>
    <row r="86" spans="2:93" ht="13.5" customHeight="1" outlineLevel="1" x14ac:dyDescent="0.25">
      <c r="B86" s="23" t="s">
        <v>50</v>
      </c>
      <c r="C86" s="23" t="s">
        <v>44</v>
      </c>
      <c r="D86" s="23" t="s">
        <v>51</v>
      </c>
      <c r="E86" s="24" t="s">
        <v>52</v>
      </c>
      <c r="F86" s="450">
        <v>1000</v>
      </c>
      <c r="G86" s="25">
        <v>1050</v>
      </c>
      <c r="H86" s="30">
        <v>1081.5</v>
      </c>
      <c r="I86" s="106"/>
      <c r="J86" s="107"/>
      <c r="K86" s="108">
        <v>0.05</v>
      </c>
      <c r="L86" s="108">
        <v>0.03</v>
      </c>
      <c r="M86" s="391">
        <v>6.7613252197430695E-3</v>
      </c>
      <c r="N86" s="392">
        <v>6.7840413503472783E-3</v>
      </c>
      <c r="O86" s="393">
        <v>6.7260265197617072E-3</v>
      </c>
      <c r="Q86" s="457">
        <v>0.65</v>
      </c>
      <c r="R86" s="343">
        <v>0.68250000000000011</v>
      </c>
      <c r="S86" s="356">
        <v>0.68932500000000008</v>
      </c>
      <c r="T86" s="36">
        <v>0.05</v>
      </c>
      <c r="U86" s="35">
        <v>0.01</v>
      </c>
      <c r="V86" s="29"/>
      <c r="W86" s="463">
        <v>0.05</v>
      </c>
      <c r="X86" s="482">
        <v>0.1</v>
      </c>
      <c r="Y86" s="378">
        <v>0.1</v>
      </c>
      <c r="AA86" s="400">
        <v>0.63157894736842102</v>
      </c>
      <c r="AB86" s="392">
        <v>0.64722222222222237</v>
      </c>
      <c r="AC86" s="393">
        <v>0.65480555555555564</v>
      </c>
      <c r="AD86" s="15"/>
      <c r="AE86" s="38">
        <v>105.26315789473685</v>
      </c>
      <c r="AF86" s="62">
        <v>108.42105263157896</v>
      </c>
      <c r="AG86" s="69">
        <v>113.84210526315792</v>
      </c>
      <c r="AH86" s="36">
        <v>0.03</v>
      </c>
      <c r="AI86" s="35">
        <v>0.05</v>
      </c>
      <c r="AJ86" s="15"/>
      <c r="AK86" s="38">
        <v>126.31578947368422</v>
      </c>
      <c r="AL86" s="62">
        <v>130.10526315789474</v>
      </c>
      <c r="AM86" s="69">
        <v>136.61052631578949</v>
      </c>
      <c r="AN86" s="438">
        <v>0.03</v>
      </c>
      <c r="AO86" s="433">
        <v>0.05</v>
      </c>
      <c r="AQ86" s="38">
        <v>100</v>
      </c>
      <c r="AR86" s="64">
        <v>97.578947368421069</v>
      </c>
      <c r="AS86" s="65">
        <v>102.45789473684214</v>
      </c>
      <c r="AT86" s="26">
        <v>-2.4210526315789349E-2</v>
      </c>
      <c r="AU86" s="28">
        <v>5.0000000000000044E-2</v>
      </c>
      <c r="AW86" s="41">
        <v>52.631578947368553</v>
      </c>
      <c r="AX86" s="25">
        <v>116.66666666666674</v>
      </c>
      <c r="AY86" s="30">
        <v>120.16666666666674</v>
      </c>
      <c r="BA86" s="41">
        <v>631.57894736842104</v>
      </c>
      <c r="BB86" s="25">
        <v>679.58333333333348</v>
      </c>
      <c r="BC86" s="30">
        <v>708.1722083333334</v>
      </c>
      <c r="BE86" s="42">
        <v>368.42105263157896</v>
      </c>
      <c r="BF86" s="25">
        <v>370.41666666666652</v>
      </c>
      <c r="BG86" s="30">
        <v>373.3277916666666</v>
      </c>
      <c r="BI86" s="43">
        <v>1052.6315789473686</v>
      </c>
      <c r="BJ86" s="44">
        <v>1166.6666666666667</v>
      </c>
      <c r="BK86" s="45">
        <v>1201.6666666666667</v>
      </c>
      <c r="BM86" s="450">
        <v>10</v>
      </c>
      <c r="BN86" s="25">
        <v>10.760517799352749</v>
      </c>
      <c r="BO86" s="30">
        <v>10.555555555555552</v>
      </c>
      <c r="BP86" s="26">
        <v>7.6051779935274899E-2</v>
      </c>
      <c r="BQ86" s="28">
        <v>-1.9047619047619313E-2</v>
      </c>
      <c r="BR86" s="391">
        <v>2.205071664829107E-3</v>
      </c>
      <c r="BS86" s="392">
        <v>2.2322721813239342E-3</v>
      </c>
      <c r="BT86" s="393">
        <v>2.217095469226462E-3</v>
      </c>
      <c r="BV86" s="450">
        <v>4</v>
      </c>
      <c r="BW86" s="470">
        <v>4</v>
      </c>
      <c r="BX86" s="46">
        <v>0</v>
      </c>
      <c r="BY86" s="450">
        <v>4</v>
      </c>
      <c r="BZ86" s="243">
        <v>1234.5844389080992</v>
      </c>
      <c r="CA86" s="46">
        <v>307.64610972702479</v>
      </c>
      <c r="CB86" s="109">
        <v>5</v>
      </c>
      <c r="CC86" s="243">
        <v>4.5238095238095237</v>
      </c>
      <c r="CD86" s="46">
        <v>-9.5238095238095233E-2</v>
      </c>
      <c r="CF86" s="474">
        <v>1241.344956707452</v>
      </c>
      <c r="CG86" s="477">
        <v>45981.486104705182</v>
      </c>
      <c r="CH86" s="234">
        <v>8.6405921037351081E-3</v>
      </c>
      <c r="CI86" s="49">
        <v>10.079365079365076</v>
      </c>
      <c r="CJ86" s="45">
        <v>3762.9071064814793</v>
      </c>
      <c r="CK86" s="249">
        <v>0.7</v>
      </c>
      <c r="CM86" s="214">
        <v>2.5</v>
      </c>
      <c r="CN86" s="51">
        <v>1.7375509430489721E-2</v>
      </c>
      <c r="CO86" s="226">
        <v>2.2166666666666659</v>
      </c>
    </row>
    <row r="87" spans="2:93" ht="13.5" customHeight="1" outlineLevel="1" x14ac:dyDescent="0.25">
      <c r="B87" s="53"/>
      <c r="C87" s="53"/>
      <c r="D87" s="53"/>
      <c r="E87" s="24" t="s">
        <v>53</v>
      </c>
      <c r="F87" s="451">
        <v>1000</v>
      </c>
      <c r="G87" s="54">
        <v>1050</v>
      </c>
      <c r="H87" s="55">
        <v>1081.5</v>
      </c>
      <c r="I87" s="110"/>
      <c r="J87" s="111"/>
      <c r="K87" s="112">
        <v>0.05</v>
      </c>
      <c r="L87" s="112">
        <v>0.03</v>
      </c>
      <c r="M87" s="394">
        <v>6.7613252197430695E-3</v>
      </c>
      <c r="N87" s="395">
        <v>6.7840413503472783E-3</v>
      </c>
      <c r="O87" s="396">
        <v>6.7260265197617072E-3</v>
      </c>
      <c r="Q87" s="458">
        <v>0.65</v>
      </c>
      <c r="R87" s="343">
        <v>0.68250000000000011</v>
      </c>
      <c r="S87" s="356">
        <v>0.68932500000000008</v>
      </c>
      <c r="T87" s="61">
        <v>0.05</v>
      </c>
      <c r="U87" s="37">
        <v>0.01</v>
      </c>
      <c r="W87" s="464">
        <v>0.05</v>
      </c>
      <c r="X87" s="483">
        <v>0.1</v>
      </c>
      <c r="Y87" s="374">
        <v>0.1</v>
      </c>
      <c r="AA87" s="401">
        <v>0.63157894736842102</v>
      </c>
      <c r="AB87" s="395">
        <v>0.64722222222222237</v>
      </c>
      <c r="AC87" s="396">
        <v>0.65480555555555564</v>
      </c>
      <c r="AD87" s="15"/>
      <c r="AE87" s="63">
        <v>105.26315789473685</v>
      </c>
      <c r="AF87" s="62">
        <v>108.42105263157896</v>
      </c>
      <c r="AG87" s="69">
        <v>113.84210526315792</v>
      </c>
      <c r="AH87" s="61">
        <v>0.03</v>
      </c>
      <c r="AI87" s="37">
        <v>0.05</v>
      </c>
      <c r="AJ87" s="15"/>
      <c r="AK87" s="63">
        <v>126.31578947368422</v>
      </c>
      <c r="AL87" s="62">
        <v>130.10526315789474</v>
      </c>
      <c r="AM87" s="69">
        <v>136.61052631578949</v>
      </c>
      <c r="AN87" s="439">
        <v>0.03</v>
      </c>
      <c r="AO87" s="435">
        <v>0.05</v>
      </c>
      <c r="AQ87" s="63">
        <v>100</v>
      </c>
      <c r="AR87" s="64">
        <v>97.578947368421069</v>
      </c>
      <c r="AS87" s="65">
        <v>102.45789473684214</v>
      </c>
      <c r="AT87" s="56">
        <v>-2.4210526315789349E-2</v>
      </c>
      <c r="AU87" s="27">
        <v>5.0000000000000044E-2</v>
      </c>
      <c r="AW87" s="66">
        <v>52.631578947368553</v>
      </c>
      <c r="AX87" s="54">
        <v>116.66666666666674</v>
      </c>
      <c r="AY87" s="55">
        <v>120.16666666666674</v>
      </c>
      <c r="BA87" s="66">
        <v>631.57894736842104</v>
      </c>
      <c r="BB87" s="54">
        <v>679.58333333333348</v>
      </c>
      <c r="BC87" s="55">
        <v>708.1722083333334</v>
      </c>
      <c r="BE87" s="67">
        <v>368.42105263157896</v>
      </c>
      <c r="BF87" s="54">
        <v>370.41666666666652</v>
      </c>
      <c r="BG87" s="55">
        <v>373.3277916666666</v>
      </c>
      <c r="BI87" s="68">
        <v>1052.6315789473686</v>
      </c>
      <c r="BJ87" s="62">
        <v>1166.6666666666667</v>
      </c>
      <c r="BK87" s="69">
        <v>1201.6666666666667</v>
      </c>
      <c r="BM87" s="451">
        <v>10</v>
      </c>
      <c r="BN87" s="54">
        <v>10.760517799352749</v>
      </c>
      <c r="BO87" s="55">
        <v>10.555555555555552</v>
      </c>
      <c r="BP87" s="56">
        <v>7.6051779935274899E-2</v>
      </c>
      <c r="BQ87" s="27">
        <v>-1.9047619047619313E-2</v>
      </c>
      <c r="BR87" s="394">
        <v>2.205071664829107E-3</v>
      </c>
      <c r="BS87" s="395">
        <v>2.2322721813239342E-3</v>
      </c>
      <c r="BT87" s="396">
        <v>2.217095469226462E-3</v>
      </c>
      <c r="BV87" s="451">
        <v>4</v>
      </c>
      <c r="BW87" s="469">
        <v>4</v>
      </c>
      <c r="BX87" s="70">
        <v>0</v>
      </c>
      <c r="BY87" s="451">
        <v>4</v>
      </c>
      <c r="BZ87" s="71">
        <v>1234.5844389080992</v>
      </c>
      <c r="CA87" s="70">
        <v>307.64610972702479</v>
      </c>
      <c r="CB87" s="113">
        <v>5</v>
      </c>
      <c r="CC87" s="71">
        <v>4.5238095238095237</v>
      </c>
      <c r="CD87" s="70">
        <v>-9.5238095238095233E-2</v>
      </c>
      <c r="CF87" s="475">
        <v>1241.344956707452</v>
      </c>
      <c r="CG87" s="478">
        <v>45981.486104705182</v>
      </c>
      <c r="CH87" s="235">
        <v>8.6405921037351081E-3</v>
      </c>
      <c r="CI87" s="72">
        <v>10.079365079365076</v>
      </c>
      <c r="CJ87" s="69">
        <v>3762.9071064814793</v>
      </c>
      <c r="CK87" s="250">
        <v>0.7</v>
      </c>
      <c r="CM87" s="215">
        <v>2.5</v>
      </c>
      <c r="CN87" s="216">
        <v>1.7375509430489721E-2</v>
      </c>
      <c r="CO87" s="217">
        <v>2.2166666666666659</v>
      </c>
    </row>
    <row r="88" spans="2:93" ht="13.5" customHeight="1" outlineLevel="1" x14ac:dyDescent="0.25">
      <c r="B88" s="53"/>
      <c r="C88" s="53"/>
      <c r="D88" s="53"/>
      <c r="E88" s="24" t="s">
        <v>54</v>
      </c>
      <c r="F88" s="451">
        <v>1000</v>
      </c>
      <c r="G88" s="54">
        <v>1050</v>
      </c>
      <c r="H88" s="55">
        <v>1081.5</v>
      </c>
      <c r="I88" s="110"/>
      <c r="J88" s="111"/>
      <c r="K88" s="112">
        <v>0.05</v>
      </c>
      <c r="L88" s="112">
        <v>0.03</v>
      </c>
      <c r="M88" s="394">
        <v>6.7613252197430695E-3</v>
      </c>
      <c r="N88" s="395">
        <v>6.7840413503472783E-3</v>
      </c>
      <c r="O88" s="396">
        <v>6.7260265197617072E-3</v>
      </c>
      <c r="Q88" s="458">
        <v>0.65</v>
      </c>
      <c r="R88" s="343">
        <v>0.68250000000000011</v>
      </c>
      <c r="S88" s="356">
        <v>0.68932500000000008</v>
      </c>
      <c r="T88" s="61">
        <v>0.05</v>
      </c>
      <c r="U88" s="37">
        <v>0.01</v>
      </c>
      <c r="W88" s="464">
        <v>0.05</v>
      </c>
      <c r="X88" s="483">
        <v>0.1</v>
      </c>
      <c r="Y88" s="374">
        <v>0.1</v>
      </c>
      <c r="AA88" s="401">
        <v>0.63157894736842102</v>
      </c>
      <c r="AB88" s="395">
        <v>0.64722222222222237</v>
      </c>
      <c r="AC88" s="396">
        <v>0.65480555555555564</v>
      </c>
      <c r="AD88" s="15"/>
      <c r="AE88" s="63">
        <v>105.26315789473685</v>
      </c>
      <c r="AF88" s="62">
        <v>108.42105263157896</v>
      </c>
      <c r="AG88" s="69">
        <v>113.84210526315792</v>
      </c>
      <c r="AH88" s="61">
        <v>0.03</v>
      </c>
      <c r="AI88" s="37">
        <v>0.05</v>
      </c>
      <c r="AJ88" s="15"/>
      <c r="AK88" s="63">
        <v>126.31578947368422</v>
      </c>
      <c r="AL88" s="62">
        <v>130.10526315789474</v>
      </c>
      <c r="AM88" s="69">
        <v>136.61052631578949</v>
      </c>
      <c r="AN88" s="439">
        <v>0.03</v>
      </c>
      <c r="AO88" s="435">
        <v>0.05</v>
      </c>
      <c r="AQ88" s="63">
        <v>100</v>
      </c>
      <c r="AR88" s="64">
        <v>97.578947368421069</v>
      </c>
      <c r="AS88" s="65">
        <v>102.45789473684214</v>
      </c>
      <c r="AT88" s="56">
        <v>-2.4210526315789349E-2</v>
      </c>
      <c r="AU88" s="27">
        <v>5.0000000000000044E-2</v>
      </c>
      <c r="AW88" s="66">
        <v>52.631578947368553</v>
      </c>
      <c r="AX88" s="54">
        <v>116.66666666666674</v>
      </c>
      <c r="AY88" s="55">
        <v>120.16666666666674</v>
      </c>
      <c r="BA88" s="66">
        <v>631.57894736842104</v>
      </c>
      <c r="BB88" s="54">
        <v>679.58333333333348</v>
      </c>
      <c r="BC88" s="55">
        <v>708.1722083333334</v>
      </c>
      <c r="BE88" s="67">
        <v>368.42105263157896</v>
      </c>
      <c r="BF88" s="54">
        <v>370.41666666666652</v>
      </c>
      <c r="BG88" s="55">
        <v>373.3277916666666</v>
      </c>
      <c r="BI88" s="68">
        <v>1052.6315789473686</v>
      </c>
      <c r="BJ88" s="62">
        <v>1166.6666666666667</v>
      </c>
      <c r="BK88" s="69">
        <v>1201.6666666666667</v>
      </c>
      <c r="BM88" s="451">
        <v>10</v>
      </c>
      <c r="BN88" s="54">
        <v>10.760517799352749</v>
      </c>
      <c r="BO88" s="55">
        <v>10.555555555555552</v>
      </c>
      <c r="BP88" s="56">
        <v>7.6051779935274899E-2</v>
      </c>
      <c r="BQ88" s="27">
        <v>-1.9047619047619313E-2</v>
      </c>
      <c r="BR88" s="394">
        <v>2.205071664829107E-3</v>
      </c>
      <c r="BS88" s="395">
        <v>2.2322721813239342E-3</v>
      </c>
      <c r="BT88" s="396">
        <v>2.217095469226462E-3</v>
      </c>
      <c r="BV88" s="451">
        <v>4</v>
      </c>
      <c r="BW88" s="469">
        <v>4</v>
      </c>
      <c r="BX88" s="70">
        <v>0</v>
      </c>
      <c r="BY88" s="451">
        <v>4</v>
      </c>
      <c r="BZ88" s="71">
        <v>1234.5844389080992</v>
      </c>
      <c r="CA88" s="70">
        <v>307.64610972702479</v>
      </c>
      <c r="CB88" s="113">
        <v>5</v>
      </c>
      <c r="CC88" s="71">
        <v>4.5238095238095237</v>
      </c>
      <c r="CD88" s="70">
        <v>-9.5238095238095233E-2</v>
      </c>
      <c r="CF88" s="475">
        <v>1241.344956707452</v>
      </c>
      <c r="CG88" s="478">
        <v>45981.486104705182</v>
      </c>
      <c r="CH88" s="235">
        <v>8.6405921037351081E-3</v>
      </c>
      <c r="CI88" s="72">
        <v>10.079365079365076</v>
      </c>
      <c r="CJ88" s="69">
        <v>3762.9071064814793</v>
      </c>
      <c r="CK88" s="250">
        <v>0.7</v>
      </c>
      <c r="CM88" s="215">
        <v>2.5</v>
      </c>
      <c r="CN88" s="216">
        <v>1.7375509430489721E-2</v>
      </c>
      <c r="CO88" s="217">
        <v>2.2166666666666659</v>
      </c>
    </row>
    <row r="89" spans="2:93" ht="13.5" customHeight="1" outlineLevel="1" x14ac:dyDescent="0.25">
      <c r="B89" s="53"/>
      <c r="C89" s="53"/>
      <c r="D89" s="53"/>
      <c r="E89" s="24" t="s">
        <v>55</v>
      </c>
      <c r="F89" s="451">
        <v>1000</v>
      </c>
      <c r="G89" s="54">
        <v>1050</v>
      </c>
      <c r="H89" s="55">
        <v>1081.5</v>
      </c>
      <c r="I89" s="110"/>
      <c r="J89" s="111"/>
      <c r="K89" s="112">
        <v>0.05</v>
      </c>
      <c r="L89" s="112">
        <v>0.03</v>
      </c>
      <c r="M89" s="394">
        <v>6.7613252197430695E-3</v>
      </c>
      <c r="N89" s="395">
        <v>6.7840413503472783E-3</v>
      </c>
      <c r="O89" s="396">
        <v>6.7260265197617072E-3</v>
      </c>
      <c r="Q89" s="458">
        <v>0.65</v>
      </c>
      <c r="R89" s="343">
        <v>0.68250000000000011</v>
      </c>
      <c r="S89" s="356">
        <v>0.68932500000000008</v>
      </c>
      <c r="T89" s="61">
        <v>0.05</v>
      </c>
      <c r="U89" s="37">
        <v>0.01</v>
      </c>
      <c r="W89" s="464">
        <v>0.05</v>
      </c>
      <c r="X89" s="483">
        <v>0.1</v>
      </c>
      <c r="Y89" s="374">
        <v>0.1</v>
      </c>
      <c r="AA89" s="401">
        <v>0.63157894736842102</v>
      </c>
      <c r="AB89" s="395">
        <v>0.64722222222222237</v>
      </c>
      <c r="AC89" s="396">
        <v>0.65480555555555564</v>
      </c>
      <c r="AD89" s="15"/>
      <c r="AE89" s="63">
        <v>105.26315789473685</v>
      </c>
      <c r="AF89" s="62">
        <v>108.42105263157896</v>
      </c>
      <c r="AG89" s="69">
        <v>113.84210526315792</v>
      </c>
      <c r="AH89" s="61">
        <v>0.03</v>
      </c>
      <c r="AI89" s="37">
        <v>0.05</v>
      </c>
      <c r="AJ89" s="15"/>
      <c r="AK89" s="63">
        <v>126.31578947368422</v>
      </c>
      <c r="AL89" s="62">
        <v>130.10526315789474</v>
      </c>
      <c r="AM89" s="69">
        <v>136.61052631578949</v>
      </c>
      <c r="AN89" s="439">
        <v>0.03</v>
      </c>
      <c r="AO89" s="435">
        <v>0.05</v>
      </c>
      <c r="AQ89" s="63">
        <v>100</v>
      </c>
      <c r="AR89" s="64">
        <v>97.578947368421069</v>
      </c>
      <c r="AS89" s="65">
        <v>102.45789473684214</v>
      </c>
      <c r="AT89" s="56">
        <v>-2.4210526315789349E-2</v>
      </c>
      <c r="AU89" s="27">
        <v>5.0000000000000044E-2</v>
      </c>
      <c r="AW89" s="66">
        <v>52.631578947368553</v>
      </c>
      <c r="AX89" s="54">
        <v>116.66666666666674</v>
      </c>
      <c r="AY89" s="55">
        <v>120.16666666666674</v>
      </c>
      <c r="BA89" s="66">
        <v>631.57894736842104</v>
      </c>
      <c r="BB89" s="54">
        <v>679.58333333333348</v>
      </c>
      <c r="BC89" s="55">
        <v>708.1722083333334</v>
      </c>
      <c r="BE89" s="67">
        <v>368.42105263157896</v>
      </c>
      <c r="BF89" s="54">
        <v>370.41666666666652</v>
      </c>
      <c r="BG89" s="55">
        <v>373.3277916666666</v>
      </c>
      <c r="BI89" s="68">
        <v>1052.6315789473686</v>
      </c>
      <c r="BJ89" s="62">
        <v>1166.6666666666667</v>
      </c>
      <c r="BK89" s="69">
        <v>1201.6666666666667</v>
      </c>
      <c r="BM89" s="451">
        <v>10</v>
      </c>
      <c r="BN89" s="54">
        <v>10.760517799352749</v>
      </c>
      <c r="BO89" s="55">
        <v>10.555555555555552</v>
      </c>
      <c r="BP89" s="56">
        <v>7.6051779935274899E-2</v>
      </c>
      <c r="BQ89" s="27">
        <v>-1.9047619047619313E-2</v>
      </c>
      <c r="BR89" s="394">
        <v>2.205071664829107E-3</v>
      </c>
      <c r="BS89" s="395">
        <v>2.2322721813239342E-3</v>
      </c>
      <c r="BT89" s="396">
        <v>2.217095469226462E-3</v>
      </c>
      <c r="BV89" s="451">
        <v>4</v>
      </c>
      <c r="BW89" s="469">
        <v>4</v>
      </c>
      <c r="BX89" s="70">
        <v>0</v>
      </c>
      <c r="BY89" s="451">
        <v>4</v>
      </c>
      <c r="BZ89" s="71">
        <v>1234.5844389080992</v>
      </c>
      <c r="CA89" s="70">
        <v>307.64610972702479</v>
      </c>
      <c r="CB89" s="113">
        <v>5</v>
      </c>
      <c r="CC89" s="71">
        <v>4.5238095238095237</v>
      </c>
      <c r="CD89" s="70">
        <v>-9.5238095238095233E-2</v>
      </c>
      <c r="CF89" s="475">
        <v>1241.344956707452</v>
      </c>
      <c r="CG89" s="478">
        <v>45981.486104705182</v>
      </c>
      <c r="CH89" s="235">
        <v>8.6405921037351081E-3</v>
      </c>
      <c r="CI89" s="72">
        <v>10.079365079365076</v>
      </c>
      <c r="CJ89" s="69">
        <v>3762.9071064814793</v>
      </c>
      <c r="CK89" s="250">
        <v>0.7</v>
      </c>
      <c r="CM89" s="215">
        <v>2.5</v>
      </c>
      <c r="CN89" s="216">
        <v>1.7375509430489721E-2</v>
      </c>
      <c r="CO89" s="217">
        <v>2.2166666666666659</v>
      </c>
    </row>
    <row r="90" spans="2:93" ht="13.5" customHeight="1" outlineLevel="1" x14ac:dyDescent="0.25">
      <c r="B90" s="53"/>
      <c r="C90" s="53"/>
      <c r="D90" s="53"/>
      <c r="E90" s="24" t="s">
        <v>56</v>
      </c>
      <c r="F90" s="451">
        <v>1000</v>
      </c>
      <c r="G90" s="54">
        <v>1050</v>
      </c>
      <c r="H90" s="55">
        <v>1081.5</v>
      </c>
      <c r="I90" s="110"/>
      <c r="J90" s="111"/>
      <c r="K90" s="112">
        <v>0.05</v>
      </c>
      <c r="L90" s="112">
        <v>0.03</v>
      </c>
      <c r="M90" s="394">
        <v>6.7613252197430695E-3</v>
      </c>
      <c r="N90" s="395">
        <v>6.7840413503472783E-3</v>
      </c>
      <c r="O90" s="396">
        <v>6.7260265197617072E-3</v>
      </c>
      <c r="Q90" s="458">
        <v>0.65</v>
      </c>
      <c r="R90" s="343">
        <v>0.68250000000000011</v>
      </c>
      <c r="S90" s="356">
        <v>0.68932500000000008</v>
      </c>
      <c r="T90" s="61">
        <v>0.05</v>
      </c>
      <c r="U90" s="37">
        <v>0.01</v>
      </c>
      <c r="W90" s="464">
        <v>0.05</v>
      </c>
      <c r="X90" s="483">
        <v>0.1</v>
      </c>
      <c r="Y90" s="374">
        <v>0.1</v>
      </c>
      <c r="AA90" s="401">
        <v>0.63157894736842102</v>
      </c>
      <c r="AB90" s="395">
        <v>0.64722222222222237</v>
      </c>
      <c r="AC90" s="396">
        <v>0.65480555555555564</v>
      </c>
      <c r="AD90" s="15"/>
      <c r="AE90" s="63">
        <v>105.26315789473685</v>
      </c>
      <c r="AF90" s="62">
        <v>108.42105263157896</v>
      </c>
      <c r="AG90" s="69">
        <v>113.84210526315792</v>
      </c>
      <c r="AH90" s="61">
        <v>0.03</v>
      </c>
      <c r="AI90" s="37">
        <v>0.05</v>
      </c>
      <c r="AJ90" s="15"/>
      <c r="AK90" s="63">
        <v>126.31578947368422</v>
      </c>
      <c r="AL90" s="62">
        <v>130.10526315789474</v>
      </c>
      <c r="AM90" s="69">
        <v>136.61052631578949</v>
      </c>
      <c r="AN90" s="439">
        <v>0.03</v>
      </c>
      <c r="AO90" s="435">
        <v>0.05</v>
      </c>
      <c r="AQ90" s="63">
        <v>100</v>
      </c>
      <c r="AR90" s="64">
        <v>97.578947368421069</v>
      </c>
      <c r="AS90" s="65">
        <v>102.45789473684214</v>
      </c>
      <c r="AT90" s="56">
        <v>-2.4210526315789349E-2</v>
      </c>
      <c r="AU90" s="27">
        <v>5.0000000000000044E-2</v>
      </c>
      <c r="AW90" s="66">
        <v>52.631578947368553</v>
      </c>
      <c r="AX90" s="54">
        <v>116.66666666666674</v>
      </c>
      <c r="AY90" s="55">
        <v>120.16666666666674</v>
      </c>
      <c r="BA90" s="66">
        <v>631.57894736842104</v>
      </c>
      <c r="BB90" s="54">
        <v>679.58333333333348</v>
      </c>
      <c r="BC90" s="55">
        <v>708.1722083333334</v>
      </c>
      <c r="BE90" s="67">
        <v>368.42105263157896</v>
      </c>
      <c r="BF90" s="54">
        <v>370.41666666666652</v>
      </c>
      <c r="BG90" s="55">
        <v>373.3277916666666</v>
      </c>
      <c r="BI90" s="68">
        <v>1052.6315789473686</v>
      </c>
      <c r="BJ90" s="62">
        <v>1166.6666666666667</v>
      </c>
      <c r="BK90" s="69">
        <v>1201.6666666666667</v>
      </c>
      <c r="BM90" s="451">
        <v>10</v>
      </c>
      <c r="BN90" s="54">
        <v>10.760517799352749</v>
      </c>
      <c r="BO90" s="55">
        <v>10.555555555555552</v>
      </c>
      <c r="BP90" s="56">
        <v>7.6051779935274899E-2</v>
      </c>
      <c r="BQ90" s="27">
        <v>-1.9047619047619313E-2</v>
      </c>
      <c r="BR90" s="394">
        <v>2.205071664829107E-3</v>
      </c>
      <c r="BS90" s="395">
        <v>2.2322721813239342E-3</v>
      </c>
      <c r="BT90" s="396">
        <v>2.217095469226462E-3</v>
      </c>
      <c r="BV90" s="451">
        <v>4</v>
      </c>
      <c r="BW90" s="469">
        <v>4</v>
      </c>
      <c r="BX90" s="70">
        <v>0</v>
      </c>
      <c r="BY90" s="451">
        <v>4</v>
      </c>
      <c r="BZ90" s="71">
        <v>1234.5844389080992</v>
      </c>
      <c r="CA90" s="70">
        <v>307.64610972702479</v>
      </c>
      <c r="CB90" s="113">
        <v>5</v>
      </c>
      <c r="CC90" s="71">
        <v>4.5238095238095237</v>
      </c>
      <c r="CD90" s="70">
        <v>-9.5238095238095233E-2</v>
      </c>
      <c r="CF90" s="475">
        <v>1241.344956707452</v>
      </c>
      <c r="CG90" s="478">
        <v>45981.486104705182</v>
      </c>
      <c r="CH90" s="235">
        <v>8.6405921037351081E-3</v>
      </c>
      <c r="CI90" s="72">
        <v>10.079365079365076</v>
      </c>
      <c r="CJ90" s="69">
        <v>3762.9071064814793</v>
      </c>
      <c r="CK90" s="250">
        <v>0.7</v>
      </c>
      <c r="CM90" s="215">
        <v>2.5</v>
      </c>
      <c r="CN90" s="216">
        <v>1.7375509430489721E-2</v>
      </c>
      <c r="CO90" s="217">
        <v>2.2166666666666659</v>
      </c>
    </row>
    <row r="91" spans="2:93" ht="13.5" customHeight="1" x14ac:dyDescent="0.25">
      <c r="B91" s="540" t="s">
        <v>69</v>
      </c>
      <c r="C91" s="540"/>
      <c r="D91" s="540"/>
      <c r="E91" s="540"/>
      <c r="F91" s="88">
        <v>5000</v>
      </c>
      <c r="G91" s="89">
        <v>5250</v>
      </c>
      <c r="H91" s="90">
        <v>5407.5</v>
      </c>
      <c r="I91" s="90"/>
      <c r="J91" s="92"/>
      <c r="K91" s="92">
        <v>5.0000000000000044E-2</v>
      </c>
      <c r="L91" s="92">
        <v>3.0000000000000027E-2</v>
      </c>
      <c r="M91" s="366">
        <v>3.3806626098715348E-2</v>
      </c>
      <c r="N91" s="367">
        <v>3.392020675173639E-2</v>
      </c>
      <c r="O91" s="94">
        <v>3.3630132598808538E-2</v>
      </c>
      <c r="Q91" s="345">
        <v>0.68157894736842106</v>
      </c>
      <c r="R91" s="346">
        <v>0.74722222222222245</v>
      </c>
      <c r="S91" s="349">
        <v>0.75480555555555573</v>
      </c>
      <c r="T91" s="93">
        <v>9.6310596310596575E-2</v>
      </c>
      <c r="U91" s="92">
        <v>1.0148698884758334E-2</v>
      </c>
      <c r="V91" s="13"/>
      <c r="W91" s="375">
        <v>5.0000000000000079E-2</v>
      </c>
      <c r="X91" s="376">
        <v>0.10000000000000009</v>
      </c>
      <c r="Y91" s="377">
        <v>0.10000000000000009</v>
      </c>
      <c r="AA91" s="366">
        <v>0.63157894736842102</v>
      </c>
      <c r="AB91" s="367">
        <v>0.64722222222222237</v>
      </c>
      <c r="AC91" s="94">
        <v>0.65480555555555564</v>
      </c>
      <c r="AD91" s="15"/>
      <c r="AE91" s="95">
        <v>100</v>
      </c>
      <c r="AF91" s="96">
        <v>103</v>
      </c>
      <c r="AG91" s="99">
        <v>108.15</v>
      </c>
      <c r="AH91" s="93">
        <v>0.03</v>
      </c>
      <c r="AI91" s="92">
        <v>0.05</v>
      </c>
      <c r="AJ91" s="15"/>
      <c r="AK91" s="95">
        <v>120</v>
      </c>
      <c r="AL91" s="96">
        <v>123.6</v>
      </c>
      <c r="AM91" s="99">
        <v>129.78</v>
      </c>
      <c r="AN91" s="93">
        <v>0.03</v>
      </c>
      <c r="AO91" s="92">
        <v>0.05</v>
      </c>
      <c r="AQ91" s="95">
        <v>100</v>
      </c>
      <c r="AR91" s="96">
        <v>97.578947368421069</v>
      </c>
      <c r="AS91" s="99">
        <v>102.45789473684215</v>
      </c>
      <c r="AT91" s="91">
        <v>-2.4210526315789349E-2</v>
      </c>
      <c r="AU91" s="92">
        <v>5.0000000000000266E-2</v>
      </c>
      <c r="AW91" s="88">
        <v>263.15789473684276</v>
      </c>
      <c r="AX91" s="89">
        <v>583.33333333333371</v>
      </c>
      <c r="AY91" s="90">
        <v>600.83333333333371</v>
      </c>
      <c r="BA91" s="88">
        <v>3157.894736842105</v>
      </c>
      <c r="BB91" s="89">
        <v>3397.9166666666674</v>
      </c>
      <c r="BC91" s="90">
        <v>3540.861041666667</v>
      </c>
      <c r="BE91" s="88">
        <v>1842.1052631578948</v>
      </c>
      <c r="BF91" s="89">
        <v>1852.0833333333326</v>
      </c>
      <c r="BG91" s="90">
        <v>1866.638958333333</v>
      </c>
      <c r="BI91" s="100">
        <v>5263.1578947368425</v>
      </c>
      <c r="BJ91" s="101">
        <v>5833.3333333333339</v>
      </c>
      <c r="BK91" s="102">
        <v>6008.3333333333339</v>
      </c>
      <c r="BM91" s="88">
        <v>50</v>
      </c>
      <c r="BN91" s="89">
        <v>53.802588996763745</v>
      </c>
      <c r="BO91" s="90">
        <v>52.777777777777757</v>
      </c>
      <c r="BP91" s="91">
        <v>7.6051779935274899E-2</v>
      </c>
      <c r="BQ91" s="92">
        <v>-1.9047619047619313E-2</v>
      </c>
      <c r="BR91" s="366">
        <v>1.1025358324145534E-2</v>
      </c>
      <c r="BS91" s="367">
        <v>1.116136090661967E-2</v>
      </c>
      <c r="BT91" s="94">
        <v>1.108547734613231E-2</v>
      </c>
      <c r="BV91" s="88">
        <v>20</v>
      </c>
      <c r="BW91" s="282">
        <v>20</v>
      </c>
      <c r="BX91" s="103">
        <v>0</v>
      </c>
      <c r="BY91" s="88">
        <v>20</v>
      </c>
      <c r="BZ91" s="282">
        <v>6172.9221945404961</v>
      </c>
      <c r="CA91" s="103">
        <v>307.64610972702479</v>
      </c>
      <c r="CB91" s="282">
        <v>25</v>
      </c>
      <c r="CC91" s="282">
        <v>22.61904761904762</v>
      </c>
      <c r="CD91" s="103">
        <v>-9.5238095238095233E-2</v>
      </c>
      <c r="CF91" s="115">
        <v>6206.72478353726</v>
      </c>
      <c r="CG91" s="102">
        <v>229907.43052352592</v>
      </c>
      <c r="CH91" s="252">
        <v>8.6405921037351081E-3</v>
      </c>
      <c r="CI91" s="115">
        <v>50.396825396825378</v>
      </c>
      <c r="CJ91" s="102">
        <v>18814.535532407397</v>
      </c>
      <c r="CK91" s="308">
        <v>0.7</v>
      </c>
      <c r="CM91" s="290">
        <v>2.5</v>
      </c>
      <c r="CN91" s="291">
        <v>1.7375509430489721E-2</v>
      </c>
      <c r="CO91" s="292">
        <v>2.2166666666666659</v>
      </c>
    </row>
    <row r="92" spans="2:93" ht="13.5" customHeight="1" outlineLevel="1" x14ac:dyDescent="0.25">
      <c r="B92" s="53" t="s">
        <v>50</v>
      </c>
      <c r="C92" s="53" t="s">
        <v>44</v>
      </c>
      <c r="D92" s="53" t="s">
        <v>58</v>
      </c>
      <c r="E92" s="24" t="s">
        <v>59</v>
      </c>
      <c r="F92" s="451">
        <v>1000</v>
      </c>
      <c r="G92" s="54">
        <v>1050</v>
      </c>
      <c r="H92" s="55">
        <v>1081.5</v>
      </c>
      <c r="I92" s="110"/>
      <c r="J92" s="111"/>
      <c r="K92" s="112">
        <v>0.05</v>
      </c>
      <c r="L92" s="112">
        <v>0.03</v>
      </c>
      <c r="M92" s="394">
        <v>6.7613252197430695E-3</v>
      </c>
      <c r="N92" s="395">
        <v>6.7840413503472783E-3</v>
      </c>
      <c r="O92" s="396">
        <v>6.7260265197617072E-3</v>
      </c>
      <c r="Q92" s="458">
        <v>0.65</v>
      </c>
      <c r="R92" s="343">
        <v>0.68250000000000011</v>
      </c>
      <c r="S92" s="356">
        <v>0.68932500000000008</v>
      </c>
      <c r="T92" s="61">
        <v>0.05</v>
      </c>
      <c r="U92" s="37">
        <v>0.01</v>
      </c>
      <c r="V92" s="29"/>
      <c r="W92" s="464">
        <v>0.05</v>
      </c>
      <c r="X92" s="483">
        <v>0.1</v>
      </c>
      <c r="Y92" s="374">
        <v>0.1</v>
      </c>
      <c r="AA92" s="401">
        <v>0.63157894736842102</v>
      </c>
      <c r="AB92" s="395">
        <v>0.64722222222222237</v>
      </c>
      <c r="AC92" s="396">
        <v>0.65480555555555564</v>
      </c>
      <c r="AD92" s="15"/>
      <c r="AE92" s="63">
        <v>105.26315789473685</v>
      </c>
      <c r="AF92" s="62">
        <v>108.42105263157896</v>
      </c>
      <c r="AG92" s="69">
        <v>113.84210526315792</v>
      </c>
      <c r="AH92" s="61">
        <v>0.03</v>
      </c>
      <c r="AI92" s="37">
        <v>0.05</v>
      </c>
      <c r="AJ92" s="15"/>
      <c r="AK92" s="63">
        <v>126.31578947368422</v>
      </c>
      <c r="AL92" s="62">
        <v>130.10526315789474</v>
      </c>
      <c r="AM92" s="69">
        <v>136.61052631578949</v>
      </c>
      <c r="AN92" s="439">
        <v>0.03</v>
      </c>
      <c r="AO92" s="435">
        <v>0.05</v>
      </c>
      <c r="AQ92" s="63">
        <v>100</v>
      </c>
      <c r="AR92" s="64">
        <v>97.578947368421069</v>
      </c>
      <c r="AS92" s="65">
        <v>102.45789473684214</v>
      </c>
      <c r="AT92" s="56">
        <v>-2.4210526315789349E-2</v>
      </c>
      <c r="AU92" s="27">
        <v>5.0000000000000044E-2</v>
      </c>
      <c r="AW92" s="66">
        <v>52.631578947368553</v>
      </c>
      <c r="AX92" s="54">
        <v>116.66666666666674</v>
      </c>
      <c r="AY92" s="55">
        <v>120.16666666666674</v>
      </c>
      <c r="BA92" s="66">
        <v>631.57894736842104</v>
      </c>
      <c r="BB92" s="54">
        <v>679.58333333333348</v>
      </c>
      <c r="BC92" s="55">
        <v>708.1722083333334</v>
      </c>
      <c r="BE92" s="67">
        <v>368.42105263157896</v>
      </c>
      <c r="BF92" s="54">
        <v>370.41666666666652</v>
      </c>
      <c r="BG92" s="55">
        <v>373.3277916666666</v>
      </c>
      <c r="BI92" s="68">
        <v>1052.6315789473686</v>
      </c>
      <c r="BJ92" s="62">
        <v>1166.6666666666667</v>
      </c>
      <c r="BK92" s="69">
        <v>1201.6666666666667</v>
      </c>
      <c r="BM92" s="451">
        <v>10</v>
      </c>
      <c r="BN92" s="54">
        <v>10.760517799352749</v>
      </c>
      <c r="BO92" s="55">
        <v>10.555555555555552</v>
      </c>
      <c r="BP92" s="56">
        <v>7.6051779935274899E-2</v>
      </c>
      <c r="BQ92" s="27">
        <v>-1.9047619047619313E-2</v>
      </c>
      <c r="BR92" s="394">
        <v>2.205071664829107E-3</v>
      </c>
      <c r="BS92" s="395">
        <v>2.2322721813239342E-3</v>
      </c>
      <c r="BT92" s="396">
        <v>2.217095469226462E-3</v>
      </c>
      <c r="BV92" s="451">
        <v>4</v>
      </c>
      <c r="BW92" s="469">
        <v>4</v>
      </c>
      <c r="BX92" s="70">
        <v>0</v>
      </c>
      <c r="BY92" s="451">
        <v>4</v>
      </c>
      <c r="BZ92" s="71">
        <v>1234.5844389080992</v>
      </c>
      <c r="CA92" s="70">
        <v>307.64610972702479</v>
      </c>
      <c r="CB92" s="113">
        <v>5</v>
      </c>
      <c r="CC92" s="71">
        <v>4.5238095238095237</v>
      </c>
      <c r="CD92" s="70">
        <v>-9.5238095238095233E-2</v>
      </c>
      <c r="CF92" s="475">
        <v>1241.344956707452</v>
      </c>
      <c r="CG92" s="478">
        <v>45981.486104705182</v>
      </c>
      <c r="CH92" s="235">
        <v>8.6405921037351081E-3</v>
      </c>
      <c r="CI92" s="72">
        <v>10.079365079365076</v>
      </c>
      <c r="CJ92" s="69">
        <v>3762.9071064814793</v>
      </c>
      <c r="CK92" s="250">
        <v>0.7</v>
      </c>
      <c r="CM92" s="215">
        <v>2.5</v>
      </c>
      <c r="CN92" s="216">
        <v>1.7375509430489721E-2</v>
      </c>
      <c r="CO92" s="217">
        <v>2.2166666666666659</v>
      </c>
    </row>
    <row r="93" spans="2:93" ht="13.5" customHeight="1" outlineLevel="1" x14ac:dyDescent="0.25">
      <c r="B93" s="53"/>
      <c r="C93" s="53"/>
      <c r="D93" s="53"/>
      <c r="E93" s="24" t="s">
        <v>60</v>
      </c>
      <c r="F93" s="451">
        <v>1000</v>
      </c>
      <c r="G93" s="54">
        <v>1050</v>
      </c>
      <c r="H93" s="55">
        <v>1081.5</v>
      </c>
      <c r="I93" s="110"/>
      <c r="J93" s="111"/>
      <c r="K93" s="112">
        <v>0.05</v>
      </c>
      <c r="L93" s="112">
        <v>0.03</v>
      </c>
      <c r="M93" s="394">
        <v>6.7613252197430695E-3</v>
      </c>
      <c r="N93" s="395">
        <v>6.7840413503472783E-3</v>
      </c>
      <c r="O93" s="396">
        <v>6.7260265197617072E-3</v>
      </c>
      <c r="Q93" s="458">
        <v>0.65</v>
      </c>
      <c r="R93" s="343">
        <v>0.68250000000000011</v>
      </c>
      <c r="S93" s="356">
        <v>0.68932500000000008</v>
      </c>
      <c r="T93" s="61">
        <v>0.05</v>
      </c>
      <c r="U93" s="37">
        <v>0.01</v>
      </c>
      <c r="W93" s="464">
        <v>0.05</v>
      </c>
      <c r="X93" s="483">
        <v>0.1</v>
      </c>
      <c r="Y93" s="374">
        <v>0.1</v>
      </c>
      <c r="AA93" s="401">
        <v>0.63157894736842102</v>
      </c>
      <c r="AB93" s="395">
        <v>0.64722222222222237</v>
      </c>
      <c r="AC93" s="396">
        <v>0.65480555555555564</v>
      </c>
      <c r="AD93" s="15"/>
      <c r="AE93" s="63">
        <v>105.26315789473685</v>
      </c>
      <c r="AF93" s="62">
        <v>108.42105263157896</v>
      </c>
      <c r="AG93" s="69">
        <v>113.84210526315792</v>
      </c>
      <c r="AH93" s="61">
        <v>0.03</v>
      </c>
      <c r="AI93" s="37">
        <v>0.05</v>
      </c>
      <c r="AJ93" s="15"/>
      <c r="AK93" s="63">
        <v>126.31578947368422</v>
      </c>
      <c r="AL93" s="62">
        <v>130.10526315789474</v>
      </c>
      <c r="AM93" s="69">
        <v>136.61052631578949</v>
      </c>
      <c r="AN93" s="439">
        <v>0.03</v>
      </c>
      <c r="AO93" s="435">
        <v>0.05</v>
      </c>
      <c r="AQ93" s="63">
        <v>100</v>
      </c>
      <c r="AR93" s="64">
        <v>97.578947368421069</v>
      </c>
      <c r="AS93" s="65">
        <v>102.45789473684214</v>
      </c>
      <c r="AT93" s="56">
        <v>-2.4210526315789349E-2</v>
      </c>
      <c r="AU93" s="27">
        <v>5.0000000000000044E-2</v>
      </c>
      <c r="AW93" s="66">
        <v>52.631578947368553</v>
      </c>
      <c r="AX93" s="54">
        <v>116.66666666666674</v>
      </c>
      <c r="AY93" s="55">
        <v>120.16666666666674</v>
      </c>
      <c r="BA93" s="66">
        <v>631.57894736842104</v>
      </c>
      <c r="BB93" s="54">
        <v>679.58333333333348</v>
      </c>
      <c r="BC93" s="55">
        <v>708.1722083333334</v>
      </c>
      <c r="BE93" s="67">
        <v>368.42105263157896</v>
      </c>
      <c r="BF93" s="54">
        <v>370.41666666666652</v>
      </c>
      <c r="BG93" s="55">
        <v>373.3277916666666</v>
      </c>
      <c r="BI93" s="68">
        <v>1052.6315789473686</v>
      </c>
      <c r="BJ93" s="62">
        <v>1166.6666666666667</v>
      </c>
      <c r="BK93" s="69">
        <v>1201.6666666666667</v>
      </c>
      <c r="BM93" s="451">
        <v>10</v>
      </c>
      <c r="BN93" s="54">
        <v>10.760517799352749</v>
      </c>
      <c r="BO93" s="55">
        <v>10.555555555555552</v>
      </c>
      <c r="BP93" s="56">
        <v>7.6051779935274899E-2</v>
      </c>
      <c r="BQ93" s="27">
        <v>-1.9047619047619313E-2</v>
      </c>
      <c r="BR93" s="394">
        <v>2.205071664829107E-3</v>
      </c>
      <c r="BS93" s="395">
        <v>2.2322721813239342E-3</v>
      </c>
      <c r="BT93" s="396">
        <v>2.217095469226462E-3</v>
      </c>
      <c r="BV93" s="451">
        <v>4</v>
      </c>
      <c r="BW93" s="469">
        <v>4</v>
      </c>
      <c r="BX93" s="70">
        <v>0</v>
      </c>
      <c r="BY93" s="451">
        <v>4</v>
      </c>
      <c r="BZ93" s="71">
        <v>1234.5844389080992</v>
      </c>
      <c r="CA93" s="70">
        <v>307.64610972702479</v>
      </c>
      <c r="CB93" s="113">
        <v>5</v>
      </c>
      <c r="CC93" s="71">
        <v>4.5238095238095237</v>
      </c>
      <c r="CD93" s="70">
        <v>-9.5238095238095233E-2</v>
      </c>
      <c r="CF93" s="475">
        <v>1241.344956707452</v>
      </c>
      <c r="CG93" s="478">
        <v>45981.486104705182</v>
      </c>
      <c r="CH93" s="235">
        <v>8.6405921037351081E-3</v>
      </c>
      <c r="CI93" s="72">
        <v>10.079365079365076</v>
      </c>
      <c r="CJ93" s="69">
        <v>3762.9071064814793</v>
      </c>
      <c r="CK93" s="250">
        <v>0.7</v>
      </c>
      <c r="CM93" s="215">
        <v>2.5</v>
      </c>
      <c r="CN93" s="216">
        <v>1.7375509430489721E-2</v>
      </c>
      <c r="CO93" s="217">
        <v>2.2166666666666659</v>
      </c>
    </row>
    <row r="94" spans="2:93" ht="13.5" customHeight="1" outlineLevel="1" x14ac:dyDescent="0.25">
      <c r="B94" s="53"/>
      <c r="C94" s="53"/>
      <c r="D94" s="53"/>
      <c r="E94" s="24" t="s">
        <v>61</v>
      </c>
      <c r="F94" s="451">
        <v>1000</v>
      </c>
      <c r="G94" s="54">
        <v>1050</v>
      </c>
      <c r="H94" s="55">
        <v>1081.5</v>
      </c>
      <c r="I94" s="110"/>
      <c r="J94" s="111"/>
      <c r="K94" s="112">
        <v>0.05</v>
      </c>
      <c r="L94" s="112">
        <v>0.03</v>
      </c>
      <c r="M94" s="394">
        <v>6.7613252197430695E-3</v>
      </c>
      <c r="N94" s="395">
        <v>6.7840413503472783E-3</v>
      </c>
      <c r="O94" s="396">
        <v>6.7260265197617072E-3</v>
      </c>
      <c r="Q94" s="458">
        <v>0.65</v>
      </c>
      <c r="R94" s="343">
        <v>0.68250000000000011</v>
      </c>
      <c r="S94" s="356">
        <v>0.68932500000000008</v>
      </c>
      <c r="T94" s="61">
        <v>0.05</v>
      </c>
      <c r="U94" s="37">
        <v>0.01</v>
      </c>
      <c r="W94" s="464">
        <v>0.05</v>
      </c>
      <c r="X94" s="483">
        <v>0.1</v>
      </c>
      <c r="Y94" s="374">
        <v>0.1</v>
      </c>
      <c r="AA94" s="401">
        <v>0.63157894736842102</v>
      </c>
      <c r="AB94" s="395">
        <v>0.64722222222222237</v>
      </c>
      <c r="AC94" s="396">
        <v>0.65480555555555564</v>
      </c>
      <c r="AD94" s="15"/>
      <c r="AE94" s="63">
        <v>105.26315789473685</v>
      </c>
      <c r="AF94" s="62">
        <v>108.42105263157896</v>
      </c>
      <c r="AG94" s="69">
        <v>113.84210526315792</v>
      </c>
      <c r="AH94" s="61">
        <v>0.03</v>
      </c>
      <c r="AI94" s="37">
        <v>0.05</v>
      </c>
      <c r="AJ94" s="15"/>
      <c r="AK94" s="63">
        <v>126.31578947368422</v>
      </c>
      <c r="AL94" s="62">
        <v>130.10526315789474</v>
      </c>
      <c r="AM94" s="69">
        <v>136.61052631578949</v>
      </c>
      <c r="AN94" s="439">
        <v>0.03</v>
      </c>
      <c r="AO94" s="435">
        <v>0.05</v>
      </c>
      <c r="AQ94" s="63">
        <v>100</v>
      </c>
      <c r="AR94" s="64">
        <v>97.578947368421069</v>
      </c>
      <c r="AS94" s="65">
        <v>102.45789473684214</v>
      </c>
      <c r="AT94" s="56">
        <v>-2.4210526315789349E-2</v>
      </c>
      <c r="AU94" s="27">
        <v>5.0000000000000044E-2</v>
      </c>
      <c r="AW94" s="66">
        <v>52.631578947368553</v>
      </c>
      <c r="AX94" s="54">
        <v>116.66666666666674</v>
      </c>
      <c r="AY94" s="55">
        <v>120.16666666666674</v>
      </c>
      <c r="BA94" s="66">
        <v>631.57894736842104</v>
      </c>
      <c r="BB94" s="54">
        <v>679.58333333333348</v>
      </c>
      <c r="BC94" s="55">
        <v>708.1722083333334</v>
      </c>
      <c r="BE94" s="67">
        <v>368.42105263157896</v>
      </c>
      <c r="BF94" s="54">
        <v>370.41666666666652</v>
      </c>
      <c r="BG94" s="55">
        <v>373.3277916666666</v>
      </c>
      <c r="BI94" s="68">
        <v>1052.6315789473686</v>
      </c>
      <c r="BJ94" s="62">
        <v>1166.6666666666667</v>
      </c>
      <c r="BK94" s="69">
        <v>1201.6666666666667</v>
      </c>
      <c r="BM94" s="451">
        <v>10</v>
      </c>
      <c r="BN94" s="54">
        <v>10.760517799352749</v>
      </c>
      <c r="BO94" s="55">
        <v>10.555555555555552</v>
      </c>
      <c r="BP94" s="56">
        <v>7.6051779935274899E-2</v>
      </c>
      <c r="BQ94" s="27">
        <v>-1.9047619047619313E-2</v>
      </c>
      <c r="BR94" s="394">
        <v>2.205071664829107E-3</v>
      </c>
      <c r="BS94" s="395">
        <v>2.2322721813239342E-3</v>
      </c>
      <c r="BT94" s="396">
        <v>2.217095469226462E-3</v>
      </c>
      <c r="BV94" s="451">
        <v>4</v>
      </c>
      <c r="BW94" s="469">
        <v>4</v>
      </c>
      <c r="BX94" s="70">
        <v>0</v>
      </c>
      <c r="BY94" s="451">
        <v>4</v>
      </c>
      <c r="BZ94" s="71">
        <v>1234.5844389080992</v>
      </c>
      <c r="CA94" s="70">
        <v>307.64610972702479</v>
      </c>
      <c r="CB94" s="113">
        <v>5</v>
      </c>
      <c r="CC94" s="71">
        <v>4.5238095238095237</v>
      </c>
      <c r="CD94" s="70">
        <v>-9.5238095238095233E-2</v>
      </c>
      <c r="CF94" s="475">
        <v>1241.344956707452</v>
      </c>
      <c r="CG94" s="478">
        <v>45981.486104705182</v>
      </c>
      <c r="CH94" s="235">
        <v>8.6405921037351081E-3</v>
      </c>
      <c r="CI94" s="72">
        <v>10.079365079365076</v>
      </c>
      <c r="CJ94" s="69">
        <v>3762.9071064814793</v>
      </c>
      <c r="CK94" s="250">
        <v>0.7</v>
      </c>
      <c r="CM94" s="215">
        <v>2.5</v>
      </c>
      <c r="CN94" s="216">
        <v>1.7375509430489721E-2</v>
      </c>
      <c r="CO94" s="217">
        <v>2.2166666666666659</v>
      </c>
    </row>
    <row r="95" spans="2:93" ht="13.5" customHeight="1" outlineLevel="1" x14ac:dyDescent="0.25">
      <c r="B95" s="53"/>
      <c r="C95" s="53"/>
      <c r="D95" s="53"/>
      <c r="E95" s="24" t="s">
        <v>62</v>
      </c>
      <c r="F95" s="451">
        <v>1000</v>
      </c>
      <c r="G95" s="54">
        <v>1050</v>
      </c>
      <c r="H95" s="55">
        <v>1081.5</v>
      </c>
      <c r="I95" s="110"/>
      <c r="J95" s="111"/>
      <c r="K95" s="112">
        <v>0.05</v>
      </c>
      <c r="L95" s="112">
        <v>0.03</v>
      </c>
      <c r="M95" s="394">
        <v>6.7613252197430695E-3</v>
      </c>
      <c r="N95" s="395">
        <v>6.7840413503472783E-3</v>
      </c>
      <c r="O95" s="396">
        <v>6.7260265197617072E-3</v>
      </c>
      <c r="Q95" s="458">
        <v>0.65</v>
      </c>
      <c r="R95" s="343">
        <v>0.68250000000000011</v>
      </c>
      <c r="S95" s="356">
        <v>0.68932500000000008</v>
      </c>
      <c r="T95" s="61">
        <v>0.05</v>
      </c>
      <c r="U95" s="37">
        <v>0.01</v>
      </c>
      <c r="W95" s="464">
        <v>0.05</v>
      </c>
      <c r="X95" s="483">
        <v>0.1</v>
      </c>
      <c r="Y95" s="374">
        <v>0.1</v>
      </c>
      <c r="AA95" s="401">
        <v>0.63157894736842102</v>
      </c>
      <c r="AB95" s="395">
        <v>0.64722222222222237</v>
      </c>
      <c r="AC95" s="396">
        <v>0.65480555555555564</v>
      </c>
      <c r="AD95" s="15"/>
      <c r="AE95" s="63">
        <v>105.26315789473685</v>
      </c>
      <c r="AF95" s="62">
        <v>108.42105263157896</v>
      </c>
      <c r="AG95" s="69">
        <v>113.84210526315792</v>
      </c>
      <c r="AH95" s="61">
        <v>0.03</v>
      </c>
      <c r="AI95" s="37">
        <v>0.05</v>
      </c>
      <c r="AJ95" s="15"/>
      <c r="AK95" s="63">
        <v>126.31578947368422</v>
      </c>
      <c r="AL95" s="62">
        <v>130.10526315789474</v>
      </c>
      <c r="AM95" s="69">
        <v>136.61052631578949</v>
      </c>
      <c r="AN95" s="439">
        <v>0.03</v>
      </c>
      <c r="AO95" s="435">
        <v>0.05</v>
      </c>
      <c r="AQ95" s="63">
        <v>100</v>
      </c>
      <c r="AR95" s="64">
        <v>97.578947368421069</v>
      </c>
      <c r="AS95" s="65">
        <v>102.45789473684214</v>
      </c>
      <c r="AT95" s="56">
        <v>-2.4210526315789349E-2</v>
      </c>
      <c r="AU95" s="27">
        <v>5.0000000000000044E-2</v>
      </c>
      <c r="AW95" s="66">
        <v>52.631578947368553</v>
      </c>
      <c r="AX95" s="54">
        <v>116.66666666666674</v>
      </c>
      <c r="AY95" s="55">
        <v>120.16666666666674</v>
      </c>
      <c r="BA95" s="66">
        <v>631.57894736842104</v>
      </c>
      <c r="BB95" s="54">
        <v>679.58333333333348</v>
      </c>
      <c r="BC95" s="55">
        <v>708.1722083333334</v>
      </c>
      <c r="BE95" s="67">
        <v>368.42105263157896</v>
      </c>
      <c r="BF95" s="54">
        <v>370.41666666666652</v>
      </c>
      <c r="BG95" s="55">
        <v>373.3277916666666</v>
      </c>
      <c r="BI95" s="68">
        <v>1052.6315789473686</v>
      </c>
      <c r="BJ95" s="62">
        <v>1166.6666666666667</v>
      </c>
      <c r="BK95" s="69">
        <v>1201.6666666666667</v>
      </c>
      <c r="BM95" s="451">
        <v>10</v>
      </c>
      <c r="BN95" s="54">
        <v>10.760517799352749</v>
      </c>
      <c r="BO95" s="55">
        <v>10.555555555555552</v>
      </c>
      <c r="BP95" s="56">
        <v>7.6051779935274899E-2</v>
      </c>
      <c r="BQ95" s="27">
        <v>-1.9047619047619313E-2</v>
      </c>
      <c r="BR95" s="394">
        <v>2.205071664829107E-3</v>
      </c>
      <c r="BS95" s="395">
        <v>2.2322721813239342E-3</v>
      </c>
      <c r="BT95" s="396">
        <v>2.217095469226462E-3</v>
      </c>
      <c r="BV95" s="451">
        <v>4</v>
      </c>
      <c r="BW95" s="469">
        <v>4</v>
      </c>
      <c r="BX95" s="70">
        <v>0</v>
      </c>
      <c r="BY95" s="451">
        <v>4</v>
      </c>
      <c r="BZ95" s="71">
        <v>1234.5844389080992</v>
      </c>
      <c r="CA95" s="70">
        <v>307.64610972702479</v>
      </c>
      <c r="CB95" s="113">
        <v>5</v>
      </c>
      <c r="CC95" s="71">
        <v>4.5238095238095237</v>
      </c>
      <c r="CD95" s="70">
        <v>-9.5238095238095233E-2</v>
      </c>
      <c r="CF95" s="475">
        <v>1241.344956707452</v>
      </c>
      <c r="CG95" s="478">
        <v>45981.486104705182</v>
      </c>
      <c r="CH95" s="235">
        <v>8.6405921037351081E-3</v>
      </c>
      <c r="CI95" s="72">
        <v>10.079365079365076</v>
      </c>
      <c r="CJ95" s="69">
        <v>3762.9071064814793</v>
      </c>
      <c r="CK95" s="250">
        <v>0.7</v>
      </c>
      <c r="CM95" s="215">
        <v>2.5</v>
      </c>
      <c r="CN95" s="216">
        <v>1.7375509430489721E-2</v>
      </c>
      <c r="CO95" s="217">
        <v>2.2166666666666659</v>
      </c>
    </row>
    <row r="96" spans="2:93" ht="13.5" customHeight="1" outlineLevel="1" x14ac:dyDescent="0.25">
      <c r="B96" s="53"/>
      <c r="C96" s="53"/>
      <c r="D96" s="53"/>
      <c r="E96" s="24" t="s">
        <v>63</v>
      </c>
      <c r="F96" s="451">
        <v>1000</v>
      </c>
      <c r="G96" s="54">
        <v>1050</v>
      </c>
      <c r="H96" s="55">
        <v>1081.5</v>
      </c>
      <c r="I96" s="110"/>
      <c r="J96" s="111"/>
      <c r="K96" s="112">
        <v>0.05</v>
      </c>
      <c r="L96" s="112">
        <v>0.03</v>
      </c>
      <c r="M96" s="394">
        <v>6.7613252197430695E-3</v>
      </c>
      <c r="N96" s="395">
        <v>6.7840413503472783E-3</v>
      </c>
      <c r="O96" s="396">
        <v>6.7260265197617072E-3</v>
      </c>
      <c r="Q96" s="458">
        <v>0.65</v>
      </c>
      <c r="R96" s="343">
        <v>0.68250000000000011</v>
      </c>
      <c r="S96" s="356">
        <v>0.68932500000000008</v>
      </c>
      <c r="T96" s="61">
        <v>0.05</v>
      </c>
      <c r="U96" s="37">
        <v>0.01</v>
      </c>
      <c r="W96" s="464">
        <v>0.05</v>
      </c>
      <c r="X96" s="483">
        <v>0.1</v>
      </c>
      <c r="Y96" s="374">
        <v>0.1</v>
      </c>
      <c r="AA96" s="401">
        <v>0.63157894736842102</v>
      </c>
      <c r="AB96" s="395">
        <v>0.64722222222222237</v>
      </c>
      <c r="AC96" s="396">
        <v>0.65480555555555564</v>
      </c>
      <c r="AD96" s="15"/>
      <c r="AE96" s="63">
        <v>105.26315789473685</v>
      </c>
      <c r="AF96" s="62">
        <v>108.42105263157896</v>
      </c>
      <c r="AG96" s="69">
        <v>113.84210526315792</v>
      </c>
      <c r="AH96" s="61">
        <v>0.03</v>
      </c>
      <c r="AI96" s="37">
        <v>0.05</v>
      </c>
      <c r="AJ96" s="15"/>
      <c r="AK96" s="63">
        <v>126.31578947368422</v>
      </c>
      <c r="AL96" s="62">
        <v>130.10526315789474</v>
      </c>
      <c r="AM96" s="69">
        <v>136.61052631578949</v>
      </c>
      <c r="AN96" s="439">
        <v>0.03</v>
      </c>
      <c r="AO96" s="435">
        <v>0.05</v>
      </c>
      <c r="AQ96" s="63">
        <v>100</v>
      </c>
      <c r="AR96" s="64">
        <v>97.578947368421069</v>
      </c>
      <c r="AS96" s="65">
        <v>102.45789473684214</v>
      </c>
      <c r="AT96" s="56">
        <v>-2.4210526315789349E-2</v>
      </c>
      <c r="AU96" s="27">
        <v>5.0000000000000044E-2</v>
      </c>
      <c r="AW96" s="66">
        <v>52.631578947368553</v>
      </c>
      <c r="AX96" s="54">
        <v>116.66666666666674</v>
      </c>
      <c r="AY96" s="55">
        <v>120.16666666666674</v>
      </c>
      <c r="BA96" s="66">
        <v>631.57894736842104</v>
      </c>
      <c r="BB96" s="54">
        <v>679.58333333333348</v>
      </c>
      <c r="BC96" s="55">
        <v>708.1722083333334</v>
      </c>
      <c r="BE96" s="67">
        <v>368.42105263157896</v>
      </c>
      <c r="BF96" s="54">
        <v>370.41666666666652</v>
      </c>
      <c r="BG96" s="55">
        <v>373.3277916666666</v>
      </c>
      <c r="BI96" s="68">
        <v>1052.6315789473686</v>
      </c>
      <c r="BJ96" s="62">
        <v>1166.6666666666667</v>
      </c>
      <c r="BK96" s="69">
        <v>1201.6666666666667</v>
      </c>
      <c r="BM96" s="451">
        <v>10</v>
      </c>
      <c r="BN96" s="54">
        <v>10.760517799352749</v>
      </c>
      <c r="BO96" s="55">
        <v>10.555555555555552</v>
      </c>
      <c r="BP96" s="56">
        <v>7.6051779935274899E-2</v>
      </c>
      <c r="BQ96" s="27">
        <v>-1.9047619047619313E-2</v>
      </c>
      <c r="BR96" s="394">
        <v>2.205071664829107E-3</v>
      </c>
      <c r="BS96" s="395">
        <v>2.2322721813239342E-3</v>
      </c>
      <c r="BT96" s="396">
        <v>2.217095469226462E-3</v>
      </c>
      <c r="BV96" s="451">
        <v>4</v>
      </c>
      <c r="BW96" s="469">
        <v>4</v>
      </c>
      <c r="BX96" s="70">
        <v>0</v>
      </c>
      <c r="BY96" s="451">
        <v>4</v>
      </c>
      <c r="BZ96" s="71">
        <v>1234.5844389080992</v>
      </c>
      <c r="CA96" s="70">
        <v>307.64610972702479</v>
      </c>
      <c r="CB96" s="113">
        <v>5</v>
      </c>
      <c r="CC96" s="71">
        <v>4.5238095238095237</v>
      </c>
      <c r="CD96" s="70">
        <v>-9.5238095238095233E-2</v>
      </c>
      <c r="CF96" s="475">
        <v>1241.344956707452</v>
      </c>
      <c r="CG96" s="478">
        <v>45981.486104705182</v>
      </c>
      <c r="CH96" s="235">
        <v>8.6405921037351081E-3</v>
      </c>
      <c r="CI96" s="72">
        <v>10.079365079365076</v>
      </c>
      <c r="CJ96" s="69">
        <v>3762.9071064814793</v>
      </c>
      <c r="CK96" s="250">
        <v>0.7</v>
      </c>
      <c r="CM96" s="215">
        <v>2.5</v>
      </c>
      <c r="CN96" s="216">
        <v>1.7375509430489721E-2</v>
      </c>
      <c r="CO96" s="217">
        <v>2.2166666666666659</v>
      </c>
    </row>
    <row r="97" spans="2:93" ht="13.5" customHeight="1" x14ac:dyDescent="0.25">
      <c r="B97" s="540" t="s">
        <v>70</v>
      </c>
      <c r="C97" s="540"/>
      <c r="D97" s="540"/>
      <c r="E97" s="540"/>
      <c r="F97" s="88">
        <v>5000</v>
      </c>
      <c r="G97" s="89">
        <v>5250</v>
      </c>
      <c r="H97" s="90">
        <v>5407.5</v>
      </c>
      <c r="I97" s="90"/>
      <c r="J97" s="92"/>
      <c r="K97" s="92">
        <v>5.0000000000000044E-2</v>
      </c>
      <c r="L97" s="92">
        <v>3.0000000000000027E-2</v>
      </c>
      <c r="M97" s="366">
        <v>3.3806626098715348E-2</v>
      </c>
      <c r="N97" s="367">
        <v>3.392020675173639E-2</v>
      </c>
      <c r="O97" s="94">
        <v>3.3630132598808538E-2</v>
      </c>
      <c r="Q97" s="345">
        <v>0.68157894736842106</v>
      </c>
      <c r="R97" s="346">
        <v>0.74722222222222245</v>
      </c>
      <c r="S97" s="349">
        <v>0.75480555555555573</v>
      </c>
      <c r="T97" s="93">
        <v>9.6310596310596575E-2</v>
      </c>
      <c r="U97" s="92">
        <v>1.0148698884758334E-2</v>
      </c>
      <c r="V97" s="13"/>
      <c r="W97" s="375">
        <v>5.0000000000000079E-2</v>
      </c>
      <c r="X97" s="376">
        <v>0.10000000000000009</v>
      </c>
      <c r="Y97" s="377">
        <v>0.10000000000000009</v>
      </c>
      <c r="AA97" s="366">
        <v>0.63157894736842102</v>
      </c>
      <c r="AB97" s="367">
        <v>0.64722222222222237</v>
      </c>
      <c r="AC97" s="94">
        <v>0.65480555555555564</v>
      </c>
      <c r="AD97" s="15"/>
      <c r="AE97" s="95">
        <v>100</v>
      </c>
      <c r="AF97" s="96">
        <v>103</v>
      </c>
      <c r="AG97" s="99">
        <v>108.15</v>
      </c>
      <c r="AH97" s="93">
        <v>0.03</v>
      </c>
      <c r="AI97" s="92">
        <v>0.05</v>
      </c>
      <c r="AJ97" s="15"/>
      <c r="AK97" s="95">
        <v>120</v>
      </c>
      <c r="AL97" s="96">
        <v>123.6</v>
      </c>
      <c r="AM97" s="99">
        <v>129.78</v>
      </c>
      <c r="AN97" s="93">
        <v>0.03</v>
      </c>
      <c r="AO97" s="92">
        <v>0.05</v>
      </c>
      <c r="AQ97" s="95">
        <v>100</v>
      </c>
      <c r="AR97" s="96">
        <v>97.578947368421069</v>
      </c>
      <c r="AS97" s="99">
        <v>102.45789473684215</v>
      </c>
      <c r="AT97" s="91">
        <v>-2.4210526315789349E-2</v>
      </c>
      <c r="AU97" s="92">
        <v>5.0000000000000266E-2</v>
      </c>
      <c r="AW97" s="88">
        <v>263.15789473684276</v>
      </c>
      <c r="AX97" s="89">
        <v>583.33333333333371</v>
      </c>
      <c r="AY97" s="90">
        <v>600.83333333333371</v>
      </c>
      <c r="BA97" s="88">
        <v>3157.894736842105</v>
      </c>
      <c r="BB97" s="89">
        <v>3397.9166666666674</v>
      </c>
      <c r="BC97" s="90">
        <v>3540.861041666667</v>
      </c>
      <c r="BE97" s="88">
        <v>1842.1052631578948</v>
      </c>
      <c r="BF97" s="89">
        <v>1852.0833333333326</v>
      </c>
      <c r="BG97" s="90">
        <v>1866.638958333333</v>
      </c>
      <c r="BI97" s="100">
        <v>5263.1578947368425</v>
      </c>
      <c r="BJ97" s="101">
        <v>5833.3333333333339</v>
      </c>
      <c r="BK97" s="102">
        <v>6008.3333333333339</v>
      </c>
      <c r="BM97" s="88">
        <v>50</v>
      </c>
      <c r="BN97" s="89">
        <v>53.802588996763745</v>
      </c>
      <c r="BO97" s="90">
        <v>52.777777777777757</v>
      </c>
      <c r="BP97" s="91">
        <v>7.6051779935274899E-2</v>
      </c>
      <c r="BQ97" s="92">
        <v>-1.9047619047619313E-2</v>
      </c>
      <c r="BR97" s="366">
        <v>1.1025358324145534E-2</v>
      </c>
      <c r="BS97" s="367">
        <v>1.116136090661967E-2</v>
      </c>
      <c r="BT97" s="94">
        <v>1.108547734613231E-2</v>
      </c>
      <c r="BV97" s="88">
        <v>20</v>
      </c>
      <c r="BW97" s="282">
        <v>20</v>
      </c>
      <c r="BX97" s="103">
        <v>0</v>
      </c>
      <c r="BY97" s="88">
        <v>20</v>
      </c>
      <c r="BZ97" s="282">
        <v>6172.9221945404961</v>
      </c>
      <c r="CA97" s="103">
        <v>307.64610972702479</v>
      </c>
      <c r="CB97" s="282">
        <v>25</v>
      </c>
      <c r="CC97" s="282">
        <v>22.61904761904762</v>
      </c>
      <c r="CD97" s="103">
        <v>-9.5238095238095233E-2</v>
      </c>
      <c r="CF97" s="115">
        <v>6206.72478353726</v>
      </c>
      <c r="CG97" s="102">
        <v>229907.43052352592</v>
      </c>
      <c r="CH97" s="252">
        <v>8.6405921037351081E-3</v>
      </c>
      <c r="CI97" s="115">
        <v>50.396825396825378</v>
      </c>
      <c r="CJ97" s="102">
        <v>18814.535532407397</v>
      </c>
      <c r="CK97" s="308">
        <v>0.7</v>
      </c>
      <c r="CM97" s="290">
        <v>2.5</v>
      </c>
      <c r="CN97" s="291">
        <v>1.7375509430489721E-2</v>
      </c>
      <c r="CO97" s="292">
        <v>2.2166666666666659</v>
      </c>
    </row>
    <row r="98" spans="2:93" ht="13.5" customHeight="1" x14ac:dyDescent="0.25">
      <c r="B98" s="541" t="s">
        <v>45</v>
      </c>
      <c r="C98" s="541"/>
      <c r="D98" s="541"/>
      <c r="E98" s="541"/>
      <c r="F98" s="4">
        <v>10000</v>
      </c>
      <c r="G98" s="5">
        <v>10500</v>
      </c>
      <c r="H98" s="6">
        <v>10815</v>
      </c>
      <c r="I98" s="6"/>
      <c r="J98" s="8"/>
      <c r="K98" s="8">
        <v>5.0000000000000044E-2</v>
      </c>
      <c r="L98" s="8">
        <v>3.0000000000000027E-2</v>
      </c>
      <c r="M98" s="402">
        <v>6.7613252197430695E-2</v>
      </c>
      <c r="N98" s="318">
        <v>6.784041350347278E-2</v>
      </c>
      <c r="O98" s="9">
        <v>6.7260265197617075E-2</v>
      </c>
      <c r="Q98" s="347">
        <v>0.68157894736842106</v>
      </c>
      <c r="R98" s="348">
        <v>0.74722222222222245</v>
      </c>
      <c r="S98" s="350">
        <v>0.75480555555555573</v>
      </c>
      <c r="T98" s="14">
        <v>9.6310596310596575E-2</v>
      </c>
      <c r="U98" s="8">
        <v>1.0148698884758334E-2</v>
      </c>
      <c r="V98" s="13"/>
      <c r="W98" s="379">
        <v>5.0000000000000079E-2</v>
      </c>
      <c r="X98" s="380">
        <v>0.10000000000000009</v>
      </c>
      <c r="Y98" s="381">
        <v>0.10000000000000009</v>
      </c>
      <c r="AA98" s="402">
        <v>0.63157894736842102</v>
      </c>
      <c r="AB98" s="318">
        <v>0.64722222222222237</v>
      </c>
      <c r="AC98" s="9">
        <v>0.65480555555555564</v>
      </c>
      <c r="AD98" s="15"/>
      <c r="AE98" s="10">
        <v>100</v>
      </c>
      <c r="AF98" s="11">
        <v>103</v>
      </c>
      <c r="AG98" s="12">
        <v>108.15</v>
      </c>
      <c r="AH98" s="14">
        <v>0.03</v>
      </c>
      <c r="AI98" s="8">
        <v>0.05</v>
      </c>
      <c r="AJ98" s="15"/>
      <c r="AK98" s="10">
        <v>120</v>
      </c>
      <c r="AL98" s="11">
        <v>123.6</v>
      </c>
      <c r="AM98" s="12">
        <v>129.78</v>
      </c>
      <c r="AN98" s="14">
        <v>0.03</v>
      </c>
      <c r="AO98" s="8">
        <v>0.05</v>
      </c>
      <c r="AQ98" s="10">
        <v>100</v>
      </c>
      <c r="AR98" s="11">
        <v>97.578947368421069</v>
      </c>
      <c r="AS98" s="12">
        <v>102.45789473684215</v>
      </c>
      <c r="AT98" s="7">
        <v>-2.4210526315789349E-2</v>
      </c>
      <c r="AU98" s="8">
        <v>5.0000000000000266E-2</v>
      </c>
      <c r="AW98" s="4">
        <v>526.31578947368553</v>
      </c>
      <c r="AX98" s="5">
        <v>1166.6666666666674</v>
      </c>
      <c r="AY98" s="6">
        <v>1201.6666666666674</v>
      </c>
      <c r="BA98" s="4">
        <v>6315.78947368421</v>
      </c>
      <c r="BB98" s="5">
        <v>6795.8333333333348</v>
      </c>
      <c r="BC98" s="6">
        <v>7081.722083333334</v>
      </c>
      <c r="BE98" s="4">
        <v>3684.2105263157896</v>
      </c>
      <c r="BF98" s="5">
        <v>3704.1666666666652</v>
      </c>
      <c r="BG98" s="6">
        <v>3733.277916666666</v>
      </c>
      <c r="BI98" s="116">
        <v>10526.315789473685</v>
      </c>
      <c r="BJ98" s="16">
        <v>11666.666666666668</v>
      </c>
      <c r="BK98" s="17">
        <v>12016.666666666668</v>
      </c>
      <c r="BM98" s="4">
        <v>100</v>
      </c>
      <c r="BN98" s="5">
        <v>107.60517799352749</v>
      </c>
      <c r="BO98" s="6">
        <v>105.55555555555551</v>
      </c>
      <c r="BP98" s="7">
        <v>7.6051779935274899E-2</v>
      </c>
      <c r="BQ98" s="8">
        <v>-1.9047619047619313E-2</v>
      </c>
      <c r="BR98" s="402">
        <v>2.2050716648291068E-2</v>
      </c>
      <c r="BS98" s="318">
        <v>2.2322721813239341E-2</v>
      </c>
      <c r="BT98" s="9">
        <v>2.217095469226462E-2</v>
      </c>
      <c r="BV98" s="4">
        <v>40</v>
      </c>
      <c r="BW98" s="283">
        <v>40</v>
      </c>
      <c r="BX98" s="18">
        <v>0</v>
      </c>
      <c r="BY98" s="4">
        <v>40</v>
      </c>
      <c r="BZ98" s="283">
        <v>12345.844389080992</v>
      </c>
      <c r="CA98" s="18">
        <v>307.64610972702479</v>
      </c>
      <c r="CB98" s="283">
        <v>50</v>
      </c>
      <c r="CC98" s="283">
        <v>45.238095238095241</v>
      </c>
      <c r="CD98" s="18">
        <v>-9.5238095238095233E-2</v>
      </c>
      <c r="CF98" s="117">
        <v>12413.44956707452</v>
      </c>
      <c r="CG98" s="17">
        <v>459814.86104705185</v>
      </c>
      <c r="CH98" s="253">
        <v>8.6405921037351081E-3</v>
      </c>
      <c r="CI98" s="117">
        <v>100.79365079365076</v>
      </c>
      <c r="CJ98" s="17">
        <v>37629.071064814794</v>
      </c>
      <c r="CK98" s="309">
        <v>0.7</v>
      </c>
      <c r="CM98" s="293">
        <v>2.5</v>
      </c>
      <c r="CN98" s="294">
        <v>1.7375509430489721E-2</v>
      </c>
      <c r="CO98" s="295">
        <v>2.2166666666666659</v>
      </c>
    </row>
    <row r="99" spans="2:93" ht="13.5" customHeight="1" outlineLevel="1" x14ac:dyDescent="0.25">
      <c r="B99" s="23" t="s">
        <v>50</v>
      </c>
      <c r="C99" s="23" t="s">
        <v>46</v>
      </c>
      <c r="D99" s="23" t="s">
        <v>51</v>
      </c>
      <c r="E99" s="24" t="s">
        <v>52</v>
      </c>
      <c r="F99" s="450">
        <v>1000</v>
      </c>
      <c r="G99" s="25">
        <v>1050</v>
      </c>
      <c r="H99" s="30">
        <v>1081.5</v>
      </c>
      <c r="I99" s="106"/>
      <c r="J99" s="107"/>
      <c r="K99" s="108">
        <v>0.05</v>
      </c>
      <c r="L99" s="108">
        <v>0.03</v>
      </c>
      <c r="M99" s="391">
        <v>6.7613252197430695E-3</v>
      </c>
      <c r="N99" s="392">
        <v>6.7840413503472783E-3</v>
      </c>
      <c r="O99" s="393">
        <v>6.7260265197617072E-3</v>
      </c>
      <c r="Q99" s="457">
        <v>0.65</v>
      </c>
      <c r="R99" s="343">
        <v>0.68250000000000011</v>
      </c>
      <c r="S99" s="343">
        <v>0.68932500000000008</v>
      </c>
      <c r="T99" s="34">
        <v>0.05</v>
      </c>
      <c r="U99" s="35">
        <v>0.01</v>
      </c>
      <c r="V99" s="29"/>
      <c r="W99" s="463">
        <v>0.05</v>
      </c>
      <c r="X99" s="482">
        <v>0.1</v>
      </c>
      <c r="Y99" s="378">
        <v>0.1</v>
      </c>
      <c r="AA99" s="400">
        <v>0.63157894736842102</v>
      </c>
      <c r="AB99" s="392">
        <v>0.64722222222222237</v>
      </c>
      <c r="AC99" s="393">
        <v>0.65480555555555564</v>
      </c>
      <c r="AD99" s="15"/>
      <c r="AE99" s="38">
        <v>105.26315789473685</v>
      </c>
      <c r="AF99" s="62">
        <v>108.42105263157896</v>
      </c>
      <c r="AG99" s="62">
        <v>113.84210526315792</v>
      </c>
      <c r="AH99" s="34">
        <v>0.03</v>
      </c>
      <c r="AI99" s="35">
        <v>0.05</v>
      </c>
      <c r="AJ99" s="15"/>
      <c r="AK99" s="38">
        <v>126.31578947368422</v>
      </c>
      <c r="AL99" s="62">
        <v>130.10526315789474</v>
      </c>
      <c r="AM99" s="62">
        <v>136.61052631578949</v>
      </c>
      <c r="AN99" s="432">
        <v>0.03</v>
      </c>
      <c r="AO99" s="433">
        <v>0.05</v>
      </c>
      <c r="AQ99" s="38">
        <v>100</v>
      </c>
      <c r="AR99" s="64">
        <v>97.578947368421069</v>
      </c>
      <c r="AS99" s="64">
        <v>102.45789473684214</v>
      </c>
      <c r="AT99" s="26">
        <v>-2.4210526315789349E-2</v>
      </c>
      <c r="AU99" s="28">
        <v>5.0000000000000044E-2</v>
      </c>
      <c r="AW99" s="41">
        <v>52.631578947368553</v>
      </c>
      <c r="AX99" s="25">
        <v>116.66666666666674</v>
      </c>
      <c r="AY99" s="30">
        <v>120.16666666666674</v>
      </c>
      <c r="BA99" s="41">
        <v>631.57894736842104</v>
      </c>
      <c r="BB99" s="25">
        <v>679.58333333333348</v>
      </c>
      <c r="BC99" s="30">
        <v>708.1722083333334</v>
      </c>
      <c r="BE99" s="42">
        <v>368.42105263157896</v>
      </c>
      <c r="BF99" s="25">
        <v>370.41666666666652</v>
      </c>
      <c r="BG99" s="30">
        <v>373.3277916666666</v>
      </c>
      <c r="BI99" s="43">
        <v>1052.6315789473686</v>
      </c>
      <c r="BJ99" s="44">
        <v>1166.6666666666667</v>
      </c>
      <c r="BK99" s="45">
        <v>1201.6666666666667</v>
      </c>
      <c r="BM99" s="450">
        <v>10</v>
      </c>
      <c r="BN99" s="25">
        <v>10.760517799352749</v>
      </c>
      <c r="BO99" s="30">
        <v>10.555555555555552</v>
      </c>
      <c r="BP99" s="26">
        <v>7.6051779935274899E-2</v>
      </c>
      <c r="BQ99" s="28">
        <v>-1.9047619047619313E-2</v>
      </c>
      <c r="BR99" s="391">
        <v>2.205071664829107E-3</v>
      </c>
      <c r="BS99" s="392">
        <v>2.2322721813239342E-3</v>
      </c>
      <c r="BT99" s="393">
        <v>2.217095469226462E-3</v>
      </c>
      <c r="BV99" s="450">
        <v>4</v>
      </c>
      <c r="BW99" s="470">
        <v>4</v>
      </c>
      <c r="BX99" s="46">
        <v>0</v>
      </c>
      <c r="BY99" s="450">
        <v>4</v>
      </c>
      <c r="BZ99" s="243">
        <v>1234.5844389080992</v>
      </c>
      <c r="CA99" s="46">
        <v>307.64610972702479</v>
      </c>
      <c r="CB99" s="109">
        <v>5</v>
      </c>
      <c r="CC99" s="243">
        <v>4.5238095238095237</v>
      </c>
      <c r="CD99" s="46">
        <v>-9.5238095238095233E-2</v>
      </c>
      <c r="CF99" s="474">
        <v>1241.344956707452</v>
      </c>
      <c r="CG99" s="477">
        <v>45981.486104705182</v>
      </c>
      <c r="CH99" s="234">
        <v>8.6405921037351081E-3</v>
      </c>
      <c r="CI99" s="49">
        <v>10.079365079365076</v>
      </c>
      <c r="CJ99" s="45">
        <v>3762.9071064814793</v>
      </c>
      <c r="CK99" s="249">
        <v>0.7</v>
      </c>
      <c r="CM99" s="214">
        <v>2.5</v>
      </c>
      <c r="CN99" s="51">
        <v>1.7375509430489721E-2</v>
      </c>
      <c r="CO99" s="226">
        <v>2.2166666666666659</v>
      </c>
    </row>
    <row r="100" spans="2:93" ht="13.5" customHeight="1" outlineLevel="1" x14ac:dyDescent="0.25">
      <c r="B100" s="53"/>
      <c r="C100" s="53"/>
      <c r="D100" s="53"/>
      <c r="E100" s="24" t="s">
        <v>53</v>
      </c>
      <c r="F100" s="451">
        <v>1000</v>
      </c>
      <c r="G100" s="54">
        <v>1050</v>
      </c>
      <c r="H100" s="55">
        <v>1081.5</v>
      </c>
      <c r="I100" s="110"/>
      <c r="J100" s="111"/>
      <c r="K100" s="112">
        <v>0.05</v>
      </c>
      <c r="L100" s="112">
        <v>0.03</v>
      </c>
      <c r="M100" s="394">
        <v>6.7613252197430695E-3</v>
      </c>
      <c r="N100" s="395">
        <v>6.7840413503472783E-3</v>
      </c>
      <c r="O100" s="396">
        <v>6.7260265197617072E-3</v>
      </c>
      <c r="Q100" s="458">
        <v>0.65</v>
      </c>
      <c r="R100" s="343">
        <v>0.68250000000000011</v>
      </c>
      <c r="S100" s="343">
        <v>0.68932500000000008</v>
      </c>
      <c r="T100" s="60">
        <v>0.05</v>
      </c>
      <c r="U100" s="37">
        <v>0.01</v>
      </c>
      <c r="W100" s="464">
        <v>0.05</v>
      </c>
      <c r="X100" s="483">
        <v>0.1</v>
      </c>
      <c r="Y100" s="374">
        <v>0.1</v>
      </c>
      <c r="AA100" s="401">
        <v>0.63157894736842102</v>
      </c>
      <c r="AB100" s="395">
        <v>0.64722222222222237</v>
      </c>
      <c r="AC100" s="396">
        <v>0.65480555555555564</v>
      </c>
      <c r="AD100" s="15"/>
      <c r="AE100" s="63">
        <v>105.26315789473685</v>
      </c>
      <c r="AF100" s="62">
        <v>108.42105263157896</v>
      </c>
      <c r="AG100" s="62">
        <v>113.84210526315792</v>
      </c>
      <c r="AH100" s="60">
        <v>0.03</v>
      </c>
      <c r="AI100" s="37">
        <v>0.05</v>
      </c>
      <c r="AJ100" s="15"/>
      <c r="AK100" s="63">
        <v>126.31578947368422</v>
      </c>
      <c r="AL100" s="62">
        <v>130.10526315789474</v>
      </c>
      <c r="AM100" s="62">
        <v>136.61052631578949</v>
      </c>
      <c r="AN100" s="434">
        <v>0.03</v>
      </c>
      <c r="AO100" s="435">
        <v>0.05</v>
      </c>
      <c r="AQ100" s="63">
        <v>100</v>
      </c>
      <c r="AR100" s="64">
        <v>97.578947368421069</v>
      </c>
      <c r="AS100" s="64">
        <v>102.45789473684214</v>
      </c>
      <c r="AT100" s="56">
        <v>-2.4210526315789349E-2</v>
      </c>
      <c r="AU100" s="27">
        <v>5.0000000000000044E-2</v>
      </c>
      <c r="AW100" s="66">
        <v>52.631578947368553</v>
      </c>
      <c r="AX100" s="54">
        <v>116.66666666666674</v>
      </c>
      <c r="AY100" s="55">
        <v>120.16666666666674</v>
      </c>
      <c r="BA100" s="66">
        <v>631.57894736842104</v>
      </c>
      <c r="BB100" s="54">
        <v>679.58333333333348</v>
      </c>
      <c r="BC100" s="55">
        <v>708.1722083333334</v>
      </c>
      <c r="BE100" s="67">
        <v>368.42105263157896</v>
      </c>
      <c r="BF100" s="54">
        <v>370.41666666666652</v>
      </c>
      <c r="BG100" s="55">
        <v>373.3277916666666</v>
      </c>
      <c r="BI100" s="68">
        <v>1052.6315789473686</v>
      </c>
      <c r="BJ100" s="62">
        <v>1166.6666666666667</v>
      </c>
      <c r="BK100" s="69">
        <v>1201.6666666666667</v>
      </c>
      <c r="BM100" s="451">
        <v>10</v>
      </c>
      <c r="BN100" s="54">
        <v>10.760517799352749</v>
      </c>
      <c r="BO100" s="55">
        <v>10.555555555555552</v>
      </c>
      <c r="BP100" s="56">
        <v>7.6051779935274899E-2</v>
      </c>
      <c r="BQ100" s="27">
        <v>-1.9047619047619313E-2</v>
      </c>
      <c r="BR100" s="394">
        <v>2.205071664829107E-3</v>
      </c>
      <c r="BS100" s="395">
        <v>2.2322721813239342E-3</v>
      </c>
      <c r="BT100" s="396">
        <v>2.217095469226462E-3</v>
      </c>
      <c r="BV100" s="451">
        <v>4</v>
      </c>
      <c r="BW100" s="469">
        <v>4</v>
      </c>
      <c r="BX100" s="70">
        <v>0</v>
      </c>
      <c r="BY100" s="451">
        <v>4</v>
      </c>
      <c r="BZ100" s="71">
        <v>1234.5844389080992</v>
      </c>
      <c r="CA100" s="70">
        <v>307.64610972702479</v>
      </c>
      <c r="CB100" s="113">
        <v>5</v>
      </c>
      <c r="CC100" s="71">
        <v>4.5238095238095237</v>
      </c>
      <c r="CD100" s="70">
        <v>-9.5238095238095233E-2</v>
      </c>
      <c r="CF100" s="475">
        <v>1241.344956707452</v>
      </c>
      <c r="CG100" s="478">
        <v>45981.486104705182</v>
      </c>
      <c r="CH100" s="235">
        <v>8.6405921037351081E-3</v>
      </c>
      <c r="CI100" s="72">
        <v>10.079365079365076</v>
      </c>
      <c r="CJ100" s="69">
        <v>3762.9071064814793</v>
      </c>
      <c r="CK100" s="250">
        <v>0.7</v>
      </c>
      <c r="CM100" s="215">
        <v>2.5</v>
      </c>
      <c r="CN100" s="216">
        <v>1.7375509430489721E-2</v>
      </c>
      <c r="CO100" s="217">
        <v>2.2166666666666659</v>
      </c>
    </row>
    <row r="101" spans="2:93" ht="13.5" customHeight="1" outlineLevel="1" x14ac:dyDescent="0.25">
      <c r="B101" s="53"/>
      <c r="C101" s="53"/>
      <c r="D101" s="53"/>
      <c r="E101" s="24" t="s">
        <v>54</v>
      </c>
      <c r="F101" s="451">
        <v>1000</v>
      </c>
      <c r="G101" s="54">
        <v>1050</v>
      </c>
      <c r="H101" s="55">
        <v>1081.5</v>
      </c>
      <c r="I101" s="110"/>
      <c r="J101" s="111"/>
      <c r="K101" s="112">
        <v>0.05</v>
      </c>
      <c r="L101" s="112">
        <v>0.03</v>
      </c>
      <c r="M101" s="394">
        <v>6.7613252197430695E-3</v>
      </c>
      <c r="N101" s="395">
        <v>6.7840413503472783E-3</v>
      </c>
      <c r="O101" s="396">
        <v>6.7260265197617072E-3</v>
      </c>
      <c r="Q101" s="458">
        <v>0.65</v>
      </c>
      <c r="R101" s="343">
        <v>0.68250000000000011</v>
      </c>
      <c r="S101" s="343">
        <v>0.68932500000000008</v>
      </c>
      <c r="T101" s="60">
        <v>0.05</v>
      </c>
      <c r="U101" s="37">
        <v>0.01</v>
      </c>
      <c r="W101" s="464">
        <v>0.05</v>
      </c>
      <c r="X101" s="483">
        <v>0.1</v>
      </c>
      <c r="Y101" s="374">
        <v>0.1</v>
      </c>
      <c r="AA101" s="401">
        <v>0.63157894736842102</v>
      </c>
      <c r="AB101" s="395">
        <v>0.64722222222222237</v>
      </c>
      <c r="AC101" s="396">
        <v>0.65480555555555564</v>
      </c>
      <c r="AD101" s="15"/>
      <c r="AE101" s="63">
        <v>105.26315789473685</v>
      </c>
      <c r="AF101" s="62">
        <v>108.42105263157896</v>
      </c>
      <c r="AG101" s="62">
        <v>113.84210526315792</v>
      </c>
      <c r="AH101" s="60">
        <v>0.03</v>
      </c>
      <c r="AI101" s="37">
        <v>0.05</v>
      </c>
      <c r="AJ101" s="15"/>
      <c r="AK101" s="63">
        <v>126.31578947368422</v>
      </c>
      <c r="AL101" s="62">
        <v>130.10526315789474</v>
      </c>
      <c r="AM101" s="62">
        <v>136.61052631578949</v>
      </c>
      <c r="AN101" s="434">
        <v>0.03</v>
      </c>
      <c r="AO101" s="435">
        <v>0.05</v>
      </c>
      <c r="AQ101" s="63">
        <v>100</v>
      </c>
      <c r="AR101" s="64">
        <v>97.578947368421069</v>
      </c>
      <c r="AS101" s="64">
        <v>102.45789473684214</v>
      </c>
      <c r="AT101" s="56">
        <v>-2.4210526315789349E-2</v>
      </c>
      <c r="AU101" s="27">
        <v>5.0000000000000044E-2</v>
      </c>
      <c r="AW101" s="66">
        <v>52.631578947368553</v>
      </c>
      <c r="AX101" s="54">
        <v>116.66666666666674</v>
      </c>
      <c r="AY101" s="55">
        <v>120.16666666666674</v>
      </c>
      <c r="BA101" s="66">
        <v>631.57894736842104</v>
      </c>
      <c r="BB101" s="54">
        <v>679.58333333333348</v>
      </c>
      <c r="BC101" s="55">
        <v>708.1722083333334</v>
      </c>
      <c r="BE101" s="67">
        <v>368.42105263157896</v>
      </c>
      <c r="BF101" s="54">
        <v>370.41666666666652</v>
      </c>
      <c r="BG101" s="55">
        <v>373.3277916666666</v>
      </c>
      <c r="BI101" s="68">
        <v>1052.6315789473686</v>
      </c>
      <c r="BJ101" s="62">
        <v>1166.6666666666667</v>
      </c>
      <c r="BK101" s="69">
        <v>1201.6666666666667</v>
      </c>
      <c r="BM101" s="451">
        <v>10</v>
      </c>
      <c r="BN101" s="54">
        <v>10.760517799352749</v>
      </c>
      <c r="BO101" s="55">
        <v>10.555555555555552</v>
      </c>
      <c r="BP101" s="56">
        <v>7.6051779935274899E-2</v>
      </c>
      <c r="BQ101" s="27">
        <v>-1.9047619047619313E-2</v>
      </c>
      <c r="BR101" s="394">
        <v>2.205071664829107E-3</v>
      </c>
      <c r="BS101" s="395">
        <v>2.2322721813239342E-3</v>
      </c>
      <c r="BT101" s="396">
        <v>2.217095469226462E-3</v>
      </c>
      <c r="BV101" s="451">
        <v>4</v>
      </c>
      <c r="BW101" s="469">
        <v>4</v>
      </c>
      <c r="BX101" s="70">
        <v>0</v>
      </c>
      <c r="BY101" s="451">
        <v>4</v>
      </c>
      <c r="BZ101" s="71">
        <v>1234.5844389080992</v>
      </c>
      <c r="CA101" s="70">
        <v>307.64610972702479</v>
      </c>
      <c r="CB101" s="113">
        <v>5</v>
      </c>
      <c r="CC101" s="71">
        <v>4.5238095238095237</v>
      </c>
      <c r="CD101" s="70">
        <v>-9.5238095238095233E-2</v>
      </c>
      <c r="CF101" s="475">
        <v>1241.344956707452</v>
      </c>
      <c r="CG101" s="478">
        <v>45981.486104705182</v>
      </c>
      <c r="CH101" s="235">
        <v>8.6405921037351081E-3</v>
      </c>
      <c r="CI101" s="72">
        <v>10.079365079365076</v>
      </c>
      <c r="CJ101" s="69">
        <v>3762.9071064814793</v>
      </c>
      <c r="CK101" s="250">
        <v>0.7</v>
      </c>
      <c r="CM101" s="215">
        <v>2.5</v>
      </c>
      <c r="CN101" s="216">
        <v>1.7375509430489721E-2</v>
      </c>
      <c r="CO101" s="217">
        <v>2.2166666666666659</v>
      </c>
    </row>
    <row r="102" spans="2:93" ht="13.5" customHeight="1" outlineLevel="1" x14ac:dyDescent="0.25">
      <c r="B102" s="53"/>
      <c r="C102" s="53"/>
      <c r="D102" s="53"/>
      <c r="E102" s="24" t="s">
        <v>55</v>
      </c>
      <c r="F102" s="451">
        <v>1000</v>
      </c>
      <c r="G102" s="54">
        <v>1050</v>
      </c>
      <c r="H102" s="55">
        <v>1081.5</v>
      </c>
      <c r="I102" s="110"/>
      <c r="J102" s="111"/>
      <c r="K102" s="112">
        <v>0.05</v>
      </c>
      <c r="L102" s="112">
        <v>0.03</v>
      </c>
      <c r="M102" s="394">
        <v>6.7613252197430695E-3</v>
      </c>
      <c r="N102" s="395">
        <v>6.7840413503472783E-3</v>
      </c>
      <c r="O102" s="396">
        <v>6.7260265197617072E-3</v>
      </c>
      <c r="Q102" s="458">
        <v>0.65</v>
      </c>
      <c r="R102" s="343">
        <v>0.68250000000000011</v>
      </c>
      <c r="S102" s="343">
        <v>0.68932500000000008</v>
      </c>
      <c r="T102" s="60">
        <v>0.05</v>
      </c>
      <c r="U102" s="37">
        <v>0.01</v>
      </c>
      <c r="W102" s="464">
        <v>0.05</v>
      </c>
      <c r="X102" s="483">
        <v>0.1</v>
      </c>
      <c r="Y102" s="374">
        <v>0.1</v>
      </c>
      <c r="AA102" s="401">
        <v>0.63157894736842102</v>
      </c>
      <c r="AB102" s="395">
        <v>0.64722222222222237</v>
      </c>
      <c r="AC102" s="396">
        <v>0.65480555555555564</v>
      </c>
      <c r="AD102" s="15"/>
      <c r="AE102" s="63">
        <v>105.26315789473685</v>
      </c>
      <c r="AF102" s="62">
        <v>108.42105263157896</v>
      </c>
      <c r="AG102" s="62">
        <v>113.84210526315792</v>
      </c>
      <c r="AH102" s="60">
        <v>0.03</v>
      </c>
      <c r="AI102" s="37">
        <v>0.05</v>
      </c>
      <c r="AJ102" s="15"/>
      <c r="AK102" s="63">
        <v>126.31578947368422</v>
      </c>
      <c r="AL102" s="62">
        <v>130.10526315789474</v>
      </c>
      <c r="AM102" s="62">
        <v>136.61052631578949</v>
      </c>
      <c r="AN102" s="434">
        <v>0.03</v>
      </c>
      <c r="AO102" s="435">
        <v>0.05</v>
      </c>
      <c r="AQ102" s="63">
        <v>100</v>
      </c>
      <c r="AR102" s="64">
        <v>97.578947368421069</v>
      </c>
      <c r="AS102" s="64">
        <v>102.45789473684214</v>
      </c>
      <c r="AT102" s="56">
        <v>-2.4210526315789349E-2</v>
      </c>
      <c r="AU102" s="27">
        <v>5.0000000000000044E-2</v>
      </c>
      <c r="AW102" s="66">
        <v>52.631578947368553</v>
      </c>
      <c r="AX102" s="54">
        <v>116.66666666666674</v>
      </c>
      <c r="AY102" s="55">
        <v>120.16666666666674</v>
      </c>
      <c r="BA102" s="66">
        <v>631.57894736842104</v>
      </c>
      <c r="BB102" s="54">
        <v>679.58333333333348</v>
      </c>
      <c r="BC102" s="55">
        <v>708.1722083333334</v>
      </c>
      <c r="BE102" s="67">
        <v>368.42105263157896</v>
      </c>
      <c r="BF102" s="54">
        <v>370.41666666666652</v>
      </c>
      <c r="BG102" s="55">
        <v>373.3277916666666</v>
      </c>
      <c r="BI102" s="68">
        <v>1052.6315789473686</v>
      </c>
      <c r="BJ102" s="62">
        <v>1166.6666666666667</v>
      </c>
      <c r="BK102" s="69">
        <v>1201.6666666666667</v>
      </c>
      <c r="BM102" s="451">
        <v>10</v>
      </c>
      <c r="BN102" s="54">
        <v>10.760517799352749</v>
      </c>
      <c r="BO102" s="55">
        <v>10.555555555555552</v>
      </c>
      <c r="BP102" s="56">
        <v>7.6051779935274899E-2</v>
      </c>
      <c r="BQ102" s="27">
        <v>-1.9047619047619313E-2</v>
      </c>
      <c r="BR102" s="394">
        <v>2.205071664829107E-3</v>
      </c>
      <c r="BS102" s="395">
        <v>2.2322721813239342E-3</v>
      </c>
      <c r="BT102" s="396">
        <v>2.217095469226462E-3</v>
      </c>
      <c r="BV102" s="451">
        <v>4</v>
      </c>
      <c r="BW102" s="469">
        <v>4</v>
      </c>
      <c r="BX102" s="70">
        <v>0</v>
      </c>
      <c r="BY102" s="451">
        <v>4</v>
      </c>
      <c r="BZ102" s="71">
        <v>1234.5844389080992</v>
      </c>
      <c r="CA102" s="70">
        <v>307.64610972702479</v>
      </c>
      <c r="CB102" s="113">
        <v>5</v>
      </c>
      <c r="CC102" s="71">
        <v>4.5238095238095237</v>
      </c>
      <c r="CD102" s="70">
        <v>-9.5238095238095233E-2</v>
      </c>
      <c r="CF102" s="475">
        <v>1241.344956707452</v>
      </c>
      <c r="CG102" s="478">
        <v>45981.486104705182</v>
      </c>
      <c r="CH102" s="235">
        <v>8.6405921037351081E-3</v>
      </c>
      <c r="CI102" s="72">
        <v>10.079365079365076</v>
      </c>
      <c r="CJ102" s="69">
        <v>3762.9071064814793</v>
      </c>
      <c r="CK102" s="250">
        <v>0.7</v>
      </c>
      <c r="CM102" s="215">
        <v>2.5</v>
      </c>
      <c r="CN102" s="216">
        <v>1.7375509430489721E-2</v>
      </c>
      <c r="CO102" s="217">
        <v>2.2166666666666659</v>
      </c>
    </row>
    <row r="103" spans="2:93" ht="13.5" customHeight="1" outlineLevel="1" x14ac:dyDescent="0.25">
      <c r="B103" s="53"/>
      <c r="C103" s="53"/>
      <c r="D103" s="53"/>
      <c r="E103" s="24" t="s">
        <v>56</v>
      </c>
      <c r="F103" s="451">
        <v>1000</v>
      </c>
      <c r="G103" s="54">
        <v>1050</v>
      </c>
      <c r="H103" s="55">
        <v>1081.5</v>
      </c>
      <c r="I103" s="110"/>
      <c r="J103" s="111"/>
      <c r="K103" s="112">
        <v>0.05</v>
      </c>
      <c r="L103" s="112">
        <v>0.03</v>
      </c>
      <c r="M103" s="394">
        <v>6.7613252197430695E-3</v>
      </c>
      <c r="N103" s="395">
        <v>6.7840413503472783E-3</v>
      </c>
      <c r="O103" s="396">
        <v>6.7260265197617072E-3</v>
      </c>
      <c r="Q103" s="458">
        <v>0.65</v>
      </c>
      <c r="R103" s="343">
        <v>0.68250000000000011</v>
      </c>
      <c r="S103" s="343">
        <v>0.68932500000000008</v>
      </c>
      <c r="T103" s="60">
        <v>0.05</v>
      </c>
      <c r="U103" s="37">
        <v>0.01</v>
      </c>
      <c r="W103" s="464">
        <v>0.05</v>
      </c>
      <c r="X103" s="483">
        <v>0.1</v>
      </c>
      <c r="Y103" s="374">
        <v>0.1</v>
      </c>
      <c r="AA103" s="401">
        <v>0.63157894736842102</v>
      </c>
      <c r="AB103" s="395">
        <v>0.64722222222222237</v>
      </c>
      <c r="AC103" s="396">
        <v>0.65480555555555564</v>
      </c>
      <c r="AD103" s="15"/>
      <c r="AE103" s="63">
        <v>105.26315789473685</v>
      </c>
      <c r="AF103" s="62">
        <v>108.42105263157896</v>
      </c>
      <c r="AG103" s="62">
        <v>113.84210526315792</v>
      </c>
      <c r="AH103" s="60">
        <v>0.03</v>
      </c>
      <c r="AI103" s="37">
        <v>0.05</v>
      </c>
      <c r="AJ103" s="15"/>
      <c r="AK103" s="63">
        <v>126.31578947368422</v>
      </c>
      <c r="AL103" s="62">
        <v>130.10526315789474</v>
      </c>
      <c r="AM103" s="62">
        <v>136.61052631578949</v>
      </c>
      <c r="AN103" s="434">
        <v>0.03</v>
      </c>
      <c r="AO103" s="435">
        <v>0.05</v>
      </c>
      <c r="AQ103" s="63">
        <v>100</v>
      </c>
      <c r="AR103" s="64">
        <v>97.578947368421069</v>
      </c>
      <c r="AS103" s="64">
        <v>102.45789473684214</v>
      </c>
      <c r="AT103" s="56">
        <v>-2.4210526315789349E-2</v>
      </c>
      <c r="AU103" s="27">
        <v>5.0000000000000044E-2</v>
      </c>
      <c r="AW103" s="66">
        <v>52.631578947368553</v>
      </c>
      <c r="AX103" s="54">
        <v>116.66666666666674</v>
      </c>
      <c r="AY103" s="55">
        <v>120.16666666666674</v>
      </c>
      <c r="BA103" s="66">
        <v>631.57894736842104</v>
      </c>
      <c r="BB103" s="54">
        <v>679.58333333333348</v>
      </c>
      <c r="BC103" s="55">
        <v>708.1722083333334</v>
      </c>
      <c r="BE103" s="67">
        <v>368.42105263157896</v>
      </c>
      <c r="BF103" s="54">
        <v>370.41666666666652</v>
      </c>
      <c r="BG103" s="55">
        <v>373.3277916666666</v>
      </c>
      <c r="BI103" s="68">
        <v>1052.6315789473686</v>
      </c>
      <c r="BJ103" s="62">
        <v>1166.6666666666667</v>
      </c>
      <c r="BK103" s="69">
        <v>1201.6666666666667</v>
      </c>
      <c r="BM103" s="451">
        <v>10</v>
      </c>
      <c r="BN103" s="54">
        <v>10.760517799352749</v>
      </c>
      <c r="BO103" s="55">
        <v>10.555555555555552</v>
      </c>
      <c r="BP103" s="56">
        <v>7.6051779935274899E-2</v>
      </c>
      <c r="BQ103" s="27">
        <v>-1.9047619047619313E-2</v>
      </c>
      <c r="BR103" s="394">
        <v>2.205071664829107E-3</v>
      </c>
      <c r="BS103" s="395">
        <v>2.2322721813239342E-3</v>
      </c>
      <c r="BT103" s="396">
        <v>2.217095469226462E-3</v>
      </c>
      <c r="BV103" s="451">
        <v>4</v>
      </c>
      <c r="BW103" s="469">
        <v>4</v>
      </c>
      <c r="BX103" s="70">
        <v>0</v>
      </c>
      <c r="BY103" s="451">
        <v>4</v>
      </c>
      <c r="BZ103" s="71">
        <v>1234.5844389080992</v>
      </c>
      <c r="CA103" s="70">
        <v>307.64610972702479</v>
      </c>
      <c r="CB103" s="113">
        <v>5</v>
      </c>
      <c r="CC103" s="71">
        <v>4.5238095238095237</v>
      </c>
      <c r="CD103" s="70">
        <v>-9.5238095238095233E-2</v>
      </c>
      <c r="CF103" s="475">
        <v>1241.344956707452</v>
      </c>
      <c r="CG103" s="478">
        <v>45981.486104705182</v>
      </c>
      <c r="CH103" s="235">
        <v>8.6405921037351081E-3</v>
      </c>
      <c r="CI103" s="72">
        <v>10.079365079365076</v>
      </c>
      <c r="CJ103" s="69">
        <v>3762.9071064814793</v>
      </c>
      <c r="CK103" s="250">
        <v>0.7</v>
      </c>
      <c r="CM103" s="215">
        <v>2.5</v>
      </c>
      <c r="CN103" s="216">
        <v>1.7375509430489721E-2</v>
      </c>
      <c r="CO103" s="217">
        <v>2.2166666666666659</v>
      </c>
    </row>
    <row r="104" spans="2:93" ht="13.5" customHeight="1" x14ac:dyDescent="0.25">
      <c r="B104" s="540" t="s">
        <v>71</v>
      </c>
      <c r="C104" s="540"/>
      <c r="D104" s="540"/>
      <c r="E104" s="540"/>
      <c r="F104" s="88">
        <v>5000</v>
      </c>
      <c r="G104" s="89">
        <v>5250</v>
      </c>
      <c r="H104" s="90">
        <v>5407.5</v>
      </c>
      <c r="I104" s="90"/>
      <c r="J104" s="92"/>
      <c r="K104" s="92">
        <v>5.0000000000000044E-2</v>
      </c>
      <c r="L104" s="92">
        <v>3.0000000000000027E-2</v>
      </c>
      <c r="M104" s="366">
        <v>3.3806626098715348E-2</v>
      </c>
      <c r="N104" s="367">
        <v>3.392020675173639E-2</v>
      </c>
      <c r="O104" s="94">
        <v>3.3630132598808538E-2</v>
      </c>
      <c r="Q104" s="345">
        <v>0.68157894736842106</v>
      </c>
      <c r="R104" s="346">
        <v>0.74722222222222245</v>
      </c>
      <c r="S104" s="349">
        <v>0.75480555555555573</v>
      </c>
      <c r="T104" s="91">
        <v>9.6310596310596575E-2</v>
      </c>
      <c r="U104" s="92">
        <v>1.0148698884758334E-2</v>
      </c>
      <c r="V104" s="13"/>
      <c r="W104" s="375">
        <v>5.0000000000000079E-2</v>
      </c>
      <c r="X104" s="376">
        <v>0.10000000000000009</v>
      </c>
      <c r="Y104" s="377">
        <v>0.10000000000000009</v>
      </c>
      <c r="AA104" s="366">
        <v>0.63157894736842102</v>
      </c>
      <c r="AB104" s="367">
        <v>0.64722222222222237</v>
      </c>
      <c r="AC104" s="94">
        <v>0.65480555555555564</v>
      </c>
      <c r="AD104" s="15"/>
      <c r="AE104" s="95">
        <v>100</v>
      </c>
      <c r="AF104" s="96">
        <v>103</v>
      </c>
      <c r="AG104" s="99">
        <v>108.15</v>
      </c>
      <c r="AH104" s="91">
        <v>0.03</v>
      </c>
      <c r="AI104" s="92">
        <v>0.05</v>
      </c>
      <c r="AJ104" s="15"/>
      <c r="AK104" s="95">
        <v>120</v>
      </c>
      <c r="AL104" s="96">
        <v>123.6</v>
      </c>
      <c r="AM104" s="99">
        <v>129.78</v>
      </c>
      <c r="AN104" s="91">
        <v>0.03</v>
      </c>
      <c r="AO104" s="92">
        <v>0.05</v>
      </c>
      <c r="AQ104" s="95">
        <v>100</v>
      </c>
      <c r="AR104" s="96">
        <v>97.578947368421069</v>
      </c>
      <c r="AS104" s="99">
        <v>102.45789473684215</v>
      </c>
      <c r="AT104" s="91">
        <v>-2.4210526315789349E-2</v>
      </c>
      <c r="AU104" s="92">
        <v>5.0000000000000266E-2</v>
      </c>
      <c r="AW104" s="88">
        <v>263.15789473684276</v>
      </c>
      <c r="AX104" s="89">
        <v>583.33333333333371</v>
      </c>
      <c r="AY104" s="90">
        <v>600.83333333333371</v>
      </c>
      <c r="BA104" s="88">
        <v>3157.894736842105</v>
      </c>
      <c r="BB104" s="89">
        <v>3397.9166666666674</v>
      </c>
      <c r="BC104" s="90">
        <v>3540.861041666667</v>
      </c>
      <c r="BE104" s="88">
        <v>1842.1052631578948</v>
      </c>
      <c r="BF104" s="89">
        <v>1852.0833333333326</v>
      </c>
      <c r="BG104" s="90">
        <v>1866.638958333333</v>
      </c>
      <c r="BI104" s="100">
        <v>5263.1578947368425</v>
      </c>
      <c r="BJ104" s="101">
        <v>5833.3333333333339</v>
      </c>
      <c r="BK104" s="102">
        <v>6008.3333333333339</v>
      </c>
      <c r="BM104" s="88">
        <v>50</v>
      </c>
      <c r="BN104" s="89">
        <v>53.802588996763745</v>
      </c>
      <c r="BO104" s="90">
        <v>52.777777777777757</v>
      </c>
      <c r="BP104" s="91">
        <v>7.6051779935274899E-2</v>
      </c>
      <c r="BQ104" s="92">
        <v>-1.9047619047619313E-2</v>
      </c>
      <c r="BR104" s="366">
        <v>1.1025358324145534E-2</v>
      </c>
      <c r="BS104" s="367">
        <v>1.116136090661967E-2</v>
      </c>
      <c r="BT104" s="94">
        <v>1.108547734613231E-2</v>
      </c>
      <c r="BV104" s="88">
        <v>20</v>
      </c>
      <c r="BW104" s="282">
        <v>20</v>
      </c>
      <c r="BX104" s="103">
        <v>0</v>
      </c>
      <c r="BY104" s="88">
        <v>20</v>
      </c>
      <c r="BZ104" s="282">
        <v>6172.9221945404961</v>
      </c>
      <c r="CA104" s="103">
        <v>307.64610972702479</v>
      </c>
      <c r="CB104" s="282">
        <v>25</v>
      </c>
      <c r="CC104" s="282">
        <v>22.61904761904762</v>
      </c>
      <c r="CD104" s="103">
        <v>-9.5238095238095233E-2</v>
      </c>
      <c r="CF104" s="115">
        <v>6206.72478353726</v>
      </c>
      <c r="CG104" s="102">
        <v>229907.43052352592</v>
      </c>
      <c r="CH104" s="252">
        <v>8.6405921037351081E-3</v>
      </c>
      <c r="CI104" s="115">
        <v>50.396825396825378</v>
      </c>
      <c r="CJ104" s="102">
        <v>18814.535532407397</v>
      </c>
      <c r="CK104" s="308">
        <v>0.7</v>
      </c>
      <c r="CM104" s="290">
        <v>2.5</v>
      </c>
      <c r="CN104" s="291">
        <v>1.7375509430489721E-2</v>
      </c>
      <c r="CO104" s="292">
        <v>2.2166666666666659</v>
      </c>
    </row>
    <row r="105" spans="2:93" ht="13.5" customHeight="1" outlineLevel="1" x14ac:dyDescent="0.25">
      <c r="B105" s="23" t="s">
        <v>50</v>
      </c>
      <c r="C105" s="23" t="s">
        <v>46</v>
      </c>
      <c r="D105" s="23" t="s">
        <v>58</v>
      </c>
      <c r="E105" s="24" t="s">
        <v>59</v>
      </c>
      <c r="F105" s="450">
        <v>1000</v>
      </c>
      <c r="G105" s="25">
        <v>1050</v>
      </c>
      <c r="H105" s="30">
        <v>1081.5</v>
      </c>
      <c r="I105" s="106"/>
      <c r="J105" s="107"/>
      <c r="K105" s="108">
        <v>0.05</v>
      </c>
      <c r="L105" s="108">
        <v>0.03</v>
      </c>
      <c r="M105" s="391">
        <v>6.7613252197430695E-3</v>
      </c>
      <c r="N105" s="392">
        <v>6.7840413503472783E-3</v>
      </c>
      <c r="O105" s="393">
        <v>6.7260265197617072E-3</v>
      </c>
      <c r="Q105" s="457">
        <v>0.65</v>
      </c>
      <c r="R105" s="343">
        <v>0.68250000000000011</v>
      </c>
      <c r="S105" s="343">
        <v>0.68932500000000008</v>
      </c>
      <c r="T105" s="34">
        <v>0.05</v>
      </c>
      <c r="U105" s="35">
        <v>0.01</v>
      </c>
      <c r="V105" s="29"/>
      <c r="W105" s="463">
        <v>0.05</v>
      </c>
      <c r="X105" s="482">
        <v>0.1</v>
      </c>
      <c r="Y105" s="378">
        <v>0.1</v>
      </c>
      <c r="AA105" s="400">
        <v>0.63157894736842102</v>
      </c>
      <c r="AB105" s="392">
        <v>0.64722222222222237</v>
      </c>
      <c r="AC105" s="393">
        <v>0.65480555555555564</v>
      </c>
      <c r="AD105" s="15"/>
      <c r="AE105" s="38">
        <v>105.26315789473685</v>
      </c>
      <c r="AF105" s="62">
        <v>108.42105263157896</v>
      </c>
      <c r="AG105" s="62">
        <v>113.84210526315792</v>
      </c>
      <c r="AH105" s="34">
        <v>0.03</v>
      </c>
      <c r="AI105" s="35">
        <v>0.05</v>
      </c>
      <c r="AJ105" s="15"/>
      <c r="AK105" s="38">
        <v>126.31578947368422</v>
      </c>
      <c r="AL105" s="62">
        <v>130.10526315789474</v>
      </c>
      <c r="AM105" s="62">
        <v>136.61052631578949</v>
      </c>
      <c r="AN105" s="432">
        <v>0.03</v>
      </c>
      <c r="AO105" s="433">
        <v>0.05</v>
      </c>
      <c r="AQ105" s="38">
        <v>100</v>
      </c>
      <c r="AR105" s="64">
        <v>97.578947368421069</v>
      </c>
      <c r="AS105" s="64">
        <v>102.45789473684214</v>
      </c>
      <c r="AT105" s="26">
        <v>-2.4210526315789349E-2</v>
      </c>
      <c r="AU105" s="28">
        <v>5.0000000000000044E-2</v>
      </c>
      <c r="AW105" s="41">
        <v>52.631578947368553</v>
      </c>
      <c r="AX105" s="25">
        <v>116.66666666666674</v>
      </c>
      <c r="AY105" s="30">
        <v>120.16666666666674</v>
      </c>
      <c r="BA105" s="41">
        <v>631.57894736842104</v>
      </c>
      <c r="BB105" s="25">
        <v>679.58333333333348</v>
      </c>
      <c r="BC105" s="30">
        <v>708.1722083333334</v>
      </c>
      <c r="BE105" s="42">
        <v>368.42105263157896</v>
      </c>
      <c r="BF105" s="25">
        <v>370.41666666666652</v>
      </c>
      <c r="BG105" s="30">
        <v>373.3277916666666</v>
      </c>
      <c r="BI105" s="43">
        <v>1052.6315789473686</v>
      </c>
      <c r="BJ105" s="44">
        <v>1166.6666666666667</v>
      </c>
      <c r="BK105" s="45">
        <v>1201.6666666666667</v>
      </c>
      <c r="BM105" s="450">
        <v>10</v>
      </c>
      <c r="BN105" s="25">
        <v>10.760517799352749</v>
      </c>
      <c r="BO105" s="30">
        <v>10.555555555555552</v>
      </c>
      <c r="BP105" s="26">
        <v>7.6051779935274899E-2</v>
      </c>
      <c r="BQ105" s="28">
        <v>-1.9047619047619313E-2</v>
      </c>
      <c r="BR105" s="391">
        <v>2.205071664829107E-3</v>
      </c>
      <c r="BS105" s="392">
        <v>2.2322721813239342E-3</v>
      </c>
      <c r="BT105" s="393">
        <v>2.217095469226462E-3</v>
      </c>
      <c r="BV105" s="450">
        <v>4</v>
      </c>
      <c r="BW105" s="470">
        <v>4</v>
      </c>
      <c r="BX105" s="46">
        <v>0</v>
      </c>
      <c r="BY105" s="450">
        <v>4</v>
      </c>
      <c r="BZ105" s="243">
        <v>1234.5844389080992</v>
      </c>
      <c r="CA105" s="46">
        <v>307.64610972702479</v>
      </c>
      <c r="CB105" s="109">
        <v>5</v>
      </c>
      <c r="CC105" s="243">
        <v>4.5238095238095237</v>
      </c>
      <c r="CD105" s="46">
        <v>-9.5238095238095233E-2</v>
      </c>
      <c r="CF105" s="474">
        <v>1241.344956707452</v>
      </c>
      <c r="CG105" s="477">
        <v>45981.486104705182</v>
      </c>
      <c r="CH105" s="234">
        <v>8.6405921037351081E-3</v>
      </c>
      <c r="CI105" s="49">
        <v>10.079365079365076</v>
      </c>
      <c r="CJ105" s="45">
        <v>3762.9071064814793</v>
      </c>
      <c r="CK105" s="249">
        <v>0.7</v>
      </c>
      <c r="CM105" s="214">
        <v>2.5</v>
      </c>
      <c r="CN105" s="51">
        <v>1.7375509430489721E-2</v>
      </c>
      <c r="CO105" s="226">
        <v>2.2166666666666659</v>
      </c>
    </row>
    <row r="106" spans="2:93" ht="13.5" customHeight="1" outlineLevel="1" x14ac:dyDescent="0.25">
      <c r="B106" s="53"/>
      <c r="C106" s="53"/>
      <c r="D106" s="53"/>
      <c r="E106" s="24" t="s">
        <v>60</v>
      </c>
      <c r="F106" s="451">
        <v>1000</v>
      </c>
      <c r="G106" s="54">
        <v>1050</v>
      </c>
      <c r="H106" s="55">
        <v>1081.5</v>
      </c>
      <c r="I106" s="110"/>
      <c r="J106" s="111"/>
      <c r="K106" s="112">
        <v>0.05</v>
      </c>
      <c r="L106" s="112">
        <v>0.03</v>
      </c>
      <c r="M106" s="394">
        <v>6.7613252197430695E-3</v>
      </c>
      <c r="N106" s="395">
        <v>6.7840413503472783E-3</v>
      </c>
      <c r="O106" s="396">
        <v>6.7260265197617072E-3</v>
      </c>
      <c r="Q106" s="458">
        <v>0.65</v>
      </c>
      <c r="R106" s="343">
        <v>0.68250000000000011</v>
      </c>
      <c r="S106" s="343">
        <v>0.68932500000000008</v>
      </c>
      <c r="T106" s="60">
        <v>0.05</v>
      </c>
      <c r="U106" s="37">
        <v>0.01</v>
      </c>
      <c r="W106" s="464">
        <v>0.05</v>
      </c>
      <c r="X106" s="483">
        <v>0.1</v>
      </c>
      <c r="Y106" s="374">
        <v>0.1</v>
      </c>
      <c r="AA106" s="401">
        <v>0.63157894736842102</v>
      </c>
      <c r="AB106" s="395">
        <v>0.64722222222222237</v>
      </c>
      <c r="AC106" s="396">
        <v>0.65480555555555564</v>
      </c>
      <c r="AD106" s="15"/>
      <c r="AE106" s="63">
        <v>105.26315789473685</v>
      </c>
      <c r="AF106" s="62">
        <v>108.42105263157896</v>
      </c>
      <c r="AG106" s="62">
        <v>113.84210526315792</v>
      </c>
      <c r="AH106" s="60">
        <v>0.03</v>
      </c>
      <c r="AI106" s="37">
        <v>0.05</v>
      </c>
      <c r="AJ106" s="15"/>
      <c r="AK106" s="63">
        <v>126.31578947368422</v>
      </c>
      <c r="AL106" s="62">
        <v>130.10526315789474</v>
      </c>
      <c r="AM106" s="62">
        <v>136.61052631578949</v>
      </c>
      <c r="AN106" s="434">
        <v>0.03</v>
      </c>
      <c r="AO106" s="435">
        <v>0.05</v>
      </c>
      <c r="AQ106" s="63">
        <v>100</v>
      </c>
      <c r="AR106" s="64">
        <v>97.578947368421069</v>
      </c>
      <c r="AS106" s="64">
        <v>102.45789473684214</v>
      </c>
      <c r="AT106" s="56">
        <v>-2.4210526315789349E-2</v>
      </c>
      <c r="AU106" s="27">
        <v>5.0000000000000044E-2</v>
      </c>
      <c r="AW106" s="66">
        <v>52.631578947368553</v>
      </c>
      <c r="AX106" s="54">
        <v>116.66666666666674</v>
      </c>
      <c r="AY106" s="55">
        <v>120.16666666666674</v>
      </c>
      <c r="BA106" s="66">
        <v>631.57894736842104</v>
      </c>
      <c r="BB106" s="54">
        <v>679.58333333333348</v>
      </c>
      <c r="BC106" s="55">
        <v>708.1722083333334</v>
      </c>
      <c r="BE106" s="67">
        <v>368.42105263157896</v>
      </c>
      <c r="BF106" s="54">
        <v>370.41666666666652</v>
      </c>
      <c r="BG106" s="55">
        <v>373.3277916666666</v>
      </c>
      <c r="BI106" s="68">
        <v>1052.6315789473686</v>
      </c>
      <c r="BJ106" s="62">
        <v>1166.6666666666667</v>
      </c>
      <c r="BK106" s="69">
        <v>1201.6666666666667</v>
      </c>
      <c r="BM106" s="451">
        <v>10</v>
      </c>
      <c r="BN106" s="54">
        <v>10.760517799352749</v>
      </c>
      <c r="BO106" s="55">
        <v>10.555555555555552</v>
      </c>
      <c r="BP106" s="56">
        <v>7.6051779935274899E-2</v>
      </c>
      <c r="BQ106" s="27">
        <v>-1.9047619047619313E-2</v>
      </c>
      <c r="BR106" s="394">
        <v>2.205071664829107E-3</v>
      </c>
      <c r="BS106" s="395">
        <v>2.2322721813239342E-3</v>
      </c>
      <c r="BT106" s="396">
        <v>2.217095469226462E-3</v>
      </c>
      <c r="BV106" s="451">
        <v>4</v>
      </c>
      <c r="BW106" s="469">
        <v>4</v>
      </c>
      <c r="BX106" s="70">
        <v>0</v>
      </c>
      <c r="BY106" s="451">
        <v>4</v>
      </c>
      <c r="BZ106" s="71">
        <v>1234.5844389080992</v>
      </c>
      <c r="CA106" s="70">
        <v>307.64610972702479</v>
      </c>
      <c r="CB106" s="113">
        <v>5</v>
      </c>
      <c r="CC106" s="71">
        <v>4.5238095238095237</v>
      </c>
      <c r="CD106" s="70">
        <v>-9.5238095238095233E-2</v>
      </c>
      <c r="CF106" s="475">
        <v>1241.344956707452</v>
      </c>
      <c r="CG106" s="478">
        <v>45981.486104705182</v>
      </c>
      <c r="CH106" s="235">
        <v>8.6405921037351081E-3</v>
      </c>
      <c r="CI106" s="72">
        <v>10.079365079365076</v>
      </c>
      <c r="CJ106" s="69">
        <v>3762.9071064814793</v>
      </c>
      <c r="CK106" s="250">
        <v>0.7</v>
      </c>
      <c r="CM106" s="215">
        <v>2.5</v>
      </c>
      <c r="CN106" s="216">
        <v>1.7375509430489721E-2</v>
      </c>
      <c r="CO106" s="217">
        <v>2.2166666666666659</v>
      </c>
    </row>
    <row r="107" spans="2:93" ht="13.5" customHeight="1" outlineLevel="1" x14ac:dyDescent="0.25">
      <c r="B107" s="53"/>
      <c r="C107" s="53"/>
      <c r="D107" s="53"/>
      <c r="E107" s="24" t="s">
        <v>61</v>
      </c>
      <c r="F107" s="451">
        <v>1000</v>
      </c>
      <c r="G107" s="54">
        <v>1050</v>
      </c>
      <c r="H107" s="55">
        <v>1081.5</v>
      </c>
      <c r="I107" s="110"/>
      <c r="J107" s="111"/>
      <c r="K107" s="112">
        <v>0.05</v>
      </c>
      <c r="L107" s="112">
        <v>0.03</v>
      </c>
      <c r="M107" s="394">
        <v>6.7613252197430695E-3</v>
      </c>
      <c r="N107" s="395">
        <v>6.7840413503472783E-3</v>
      </c>
      <c r="O107" s="396">
        <v>6.7260265197617072E-3</v>
      </c>
      <c r="Q107" s="458">
        <v>0.65</v>
      </c>
      <c r="R107" s="343">
        <v>0.68250000000000011</v>
      </c>
      <c r="S107" s="343">
        <v>0.68932500000000008</v>
      </c>
      <c r="T107" s="60">
        <v>0.05</v>
      </c>
      <c r="U107" s="37">
        <v>0.01</v>
      </c>
      <c r="W107" s="464">
        <v>0.05</v>
      </c>
      <c r="X107" s="483">
        <v>0.1</v>
      </c>
      <c r="Y107" s="374">
        <v>0.1</v>
      </c>
      <c r="AA107" s="401">
        <v>0.63157894736842102</v>
      </c>
      <c r="AB107" s="395">
        <v>0.64722222222222237</v>
      </c>
      <c r="AC107" s="396">
        <v>0.65480555555555564</v>
      </c>
      <c r="AD107" s="15"/>
      <c r="AE107" s="63">
        <v>105.26315789473685</v>
      </c>
      <c r="AF107" s="62">
        <v>108.42105263157896</v>
      </c>
      <c r="AG107" s="62">
        <v>113.84210526315792</v>
      </c>
      <c r="AH107" s="60">
        <v>0.03</v>
      </c>
      <c r="AI107" s="37">
        <v>0.05</v>
      </c>
      <c r="AJ107" s="15"/>
      <c r="AK107" s="63">
        <v>126.31578947368422</v>
      </c>
      <c r="AL107" s="62">
        <v>130.10526315789474</v>
      </c>
      <c r="AM107" s="62">
        <v>136.61052631578949</v>
      </c>
      <c r="AN107" s="434">
        <v>0.03</v>
      </c>
      <c r="AO107" s="435">
        <v>0.05</v>
      </c>
      <c r="AQ107" s="63">
        <v>100</v>
      </c>
      <c r="AR107" s="64">
        <v>97.578947368421069</v>
      </c>
      <c r="AS107" s="64">
        <v>102.45789473684214</v>
      </c>
      <c r="AT107" s="56">
        <v>-2.4210526315789349E-2</v>
      </c>
      <c r="AU107" s="27">
        <v>5.0000000000000044E-2</v>
      </c>
      <c r="AW107" s="66">
        <v>52.631578947368553</v>
      </c>
      <c r="AX107" s="54">
        <v>116.66666666666674</v>
      </c>
      <c r="AY107" s="55">
        <v>120.16666666666674</v>
      </c>
      <c r="BA107" s="66">
        <v>631.57894736842104</v>
      </c>
      <c r="BB107" s="54">
        <v>679.58333333333348</v>
      </c>
      <c r="BC107" s="55">
        <v>708.1722083333334</v>
      </c>
      <c r="BE107" s="67">
        <v>368.42105263157896</v>
      </c>
      <c r="BF107" s="54">
        <v>370.41666666666652</v>
      </c>
      <c r="BG107" s="55">
        <v>373.3277916666666</v>
      </c>
      <c r="BI107" s="68">
        <v>1052.6315789473686</v>
      </c>
      <c r="BJ107" s="62">
        <v>1166.6666666666667</v>
      </c>
      <c r="BK107" s="69">
        <v>1201.6666666666667</v>
      </c>
      <c r="BM107" s="451">
        <v>10</v>
      </c>
      <c r="BN107" s="54">
        <v>10.760517799352749</v>
      </c>
      <c r="BO107" s="55">
        <v>10.555555555555552</v>
      </c>
      <c r="BP107" s="56">
        <v>7.6051779935274899E-2</v>
      </c>
      <c r="BQ107" s="27">
        <v>-1.9047619047619313E-2</v>
      </c>
      <c r="BR107" s="394">
        <v>2.205071664829107E-3</v>
      </c>
      <c r="BS107" s="395">
        <v>2.2322721813239342E-3</v>
      </c>
      <c r="BT107" s="396">
        <v>2.217095469226462E-3</v>
      </c>
      <c r="BV107" s="451">
        <v>4</v>
      </c>
      <c r="BW107" s="469">
        <v>4</v>
      </c>
      <c r="BX107" s="70">
        <v>0</v>
      </c>
      <c r="BY107" s="451">
        <v>4</v>
      </c>
      <c r="BZ107" s="71">
        <v>1234.5844389080992</v>
      </c>
      <c r="CA107" s="70">
        <v>307.64610972702479</v>
      </c>
      <c r="CB107" s="113">
        <v>5</v>
      </c>
      <c r="CC107" s="71">
        <v>4.5238095238095237</v>
      </c>
      <c r="CD107" s="70">
        <v>-9.5238095238095233E-2</v>
      </c>
      <c r="CF107" s="475">
        <v>1241.344956707452</v>
      </c>
      <c r="CG107" s="478">
        <v>45981.486104705182</v>
      </c>
      <c r="CH107" s="235">
        <v>8.6405921037351081E-3</v>
      </c>
      <c r="CI107" s="72">
        <v>10.079365079365076</v>
      </c>
      <c r="CJ107" s="69">
        <v>3762.9071064814793</v>
      </c>
      <c r="CK107" s="250">
        <v>0.7</v>
      </c>
      <c r="CM107" s="215">
        <v>2.5</v>
      </c>
      <c r="CN107" s="216">
        <v>1.7375509430489721E-2</v>
      </c>
      <c r="CO107" s="217">
        <v>2.2166666666666659</v>
      </c>
    </row>
    <row r="108" spans="2:93" ht="13.5" customHeight="1" outlineLevel="1" x14ac:dyDescent="0.25">
      <c r="B108" s="53"/>
      <c r="C108" s="53"/>
      <c r="D108" s="53"/>
      <c r="E108" s="24" t="s">
        <v>62</v>
      </c>
      <c r="F108" s="451">
        <v>1000</v>
      </c>
      <c r="G108" s="54">
        <v>1050</v>
      </c>
      <c r="H108" s="55">
        <v>1081.5</v>
      </c>
      <c r="I108" s="110"/>
      <c r="J108" s="111"/>
      <c r="K108" s="112">
        <v>0.05</v>
      </c>
      <c r="L108" s="112">
        <v>0.03</v>
      </c>
      <c r="M108" s="394">
        <v>6.7613252197430695E-3</v>
      </c>
      <c r="N108" s="395">
        <v>6.7840413503472783E-3</v>
      </c>
      <c r="O108" s="396">
        <v>6.7260265197617072E-3</v>
      </c>
      <c r="Q108" s="458">
        <v>0.65</v>
      </c>
      <c r="R108" s="343">
        <v>0.68250000000000011</v>
      </c>
      <c r="S108" s="343">
        <v>0.68932500000000008</v>
      </c>
      <c r="T108" s="60">
        <v>0.05</v>
      </c>
      <c r="U108" s="37">
        <v>0.01</v>
      </c>
      <c r="W108" s="464">
        <v>0.05</v>
      </c>
      <c r="X108" s="483">
        <v>0.1</v>
      </c>
      <c r="Y108" s="374">
        <v>0.1</v>
      </c>
      <c r="AA108" s="401">
        <v>0.63157894736842102</v>
      </c>
      <c r="AB108" s="395">
        <v>0.64722222222222237</v>
      </c>
      <c r="AC108" s="396">
        <v>0.65480555555555564</v>
      </c>
      <c r="AD108" s="15"/>
      <c r="AE108" s="63">
        <v>105.26315789473685</v>
      </c>
      <c r="AF108" s="62">
        <v>108.42105263157896</v>
      </c>
      <c r="AG108" s="62">
        <v>113.84210526315792</v>
      </c>
      <c r="AH108" s="60">
        <v>0.03</v>
      </c>
      <c r="AI108" s="37">
        <v>0.05</v>
      </c>
      <c r="AJ108" s="15"/>
      <c r="AK108" s="63">
        <v>126.31578947368422</v>
      </c>
      <c r="AL108" s="62">
        <v>130.10526315789474</v>
      </c>
      <c r="AM108" s="62">
        <v>136.61052631578949</v>
      </c>
      <c r="AN108" s="434">
        <v>0.03</v>
      </c>
      <c r="AO108" s="435">
        <v>0.05</v>
      </c>
      <c r="AQ108" s="63">
        <v>100</v>
      </c>
      <c r="AR108" s="64">
        <v>97.578947368421069</v>
      </c>
      <c r="AS108" s="64">
        <v>102.45789473684214</v>
      </c>
      <c r="AT108" s="56">
        <v>-2.4210526315789349E-2</v>
      </c>
      <c r="AU108" s="27">
        <v>5.0000000000000044E-2</v>
      </c>
      <c r="AW108" s="66">
        <v>52.631578947368553</v>
      </c>
      <c r="AX108" s="54">
        <v>116.66666666666674</v>
      </c>
      <c r="AY108" s="55">
        <v>120.16666666666674</v>
      </c>
      <c r="BA108" s="66">
        <v>631.57894736842104</v>
      </c>
      <c r="BB108" s="54">
        <v>679.58333333333348</v>
      </c>
      <c r="BC108" s="55">
        <v>708.1722083333334</v>
      </c>
      <c r="BE108" s="67">
        <v>368.42105263157896</v>
      </c>
      <c r="BF108" s="54">
        <v>370.41666666666652</v>
      </c>
      <c r="BG108" s="55">
        <v>373.3277916666666</v>
      </c>
      <c r="BI108" s="68">
        <v>1052.6315789473686</v>
      </c>
      <c r="BJ108" s="62">
        <v>1166.6666666666667</v>
      </c>
      <c r="BK108" s="69">
        <v>1201.6666666666667</v>
      </c>
      <c r="BM108" s="451">
        <v>10</v>
      </c>
      <c r="BN108" s="54">
        <v>10.760517799352749</v>
      </c>
      <c r="BO108" s="55">
        <v>10.555555555555552</v>
      </c>
      <c r="BP108" s="56">
        <v>7.6051779935274899E-2</v>
      </c>
      <c r="BQ108" s="27">
        <v>-1.9047619047619313E-2</v>
      </c>
      <c r="BR108" s="394">
        <v>2.205071664829107E-3</v>
      </c>
      <c r="BS108" s="395">
        <v>2.2322721813239342E-3</v>
      </c>
      <c r="BT108" s="396">
        <v>2.217095469226462E-3</v>
      </c>
      <c r="BV108" s="451">
        <v>4</v>
      </c>
      <c r="BW108" s="469">
        <v>4</v>
      </c>
      <c r="BX108" s="70">
        <v>0</v>
      </c>
      <c r="BY108" s="451">
        <v>4</v>
      </c>
      <c r="BZ108" s="71">
        <v>1234.5844389080992</v>
      </c>
      <c r="CA108" s="70">
        <v>307.64610972702479</v>
      </c>
      <c r="CB108" s="113">
        <v>5</v>
      </c>
      <c r="CC108" s="71">
        <v>4.5238095238095237</v>
      </c>
      <c r="CD108" s="70">
        <v>-9.5238095238095233E-2</v>
      </c>
      <c r="CF108" s="475">
        <v>1241.344956707452</v>
      </c>
      <c r="CG108" s="478">
        <v>45981.486104705182</v>
      </c>
      <c r="CH108" s="235">
        <v>8.6405921037351081E-3</v>
      </c>
      <c r="CI108" s="72">
        <v>10.079365079365076</v>
      </c>
      <c r="CJ108" s="69">
        <v>3762.9071064814793</v>
      </c>
      <c r="CK108" s="250">
        <v>0.7</v>
      </c>
      <c r="CM108" s="215">
        <v>2.5</v>
      </c>
      <c r="CN108" s="216">
        <v>1.7375509430489721E-2</v>
      </c>
      <c r="CO108" s="217">
        <v>2.2166666666666659</v>
      </c>
    </row>
    <row r="109" spans="2:93" ht="13.5" customHeight="1" outlineLevel="1" x14ac:dyDescent="0.25">
      <c r="B109" s="53"/>
      <c r="C109" s="53"/>
      <c r="D109" s="53"/>
      <c r="E109" s="24" t="s">
        <v>63</v>
      </c>
      <c r="F109" s="451">
        <v>1000</v>
      </c>
      <c r="G109" s="54">
        <v>1050</v>
      </c>
      <c r="H109" s="55">
        <v>1081.5</v>
      </c>
      <c r="I109" s="110"/>
      <c r="J109" s="111"/>
      <c r="K109" s="112">
        <v>0.05</v>
      </c>
      <c r="L109" s="112">
        <v>0.03</v>
      </c>
      <c r="M109" s="394">
        <v>6.7613252197430695E-3</v>
      </c>
      <c r="N109" s="395">
        <v>6.7840413503472783E-3</v>
      </c>
      <c r="O109" s="396">
        <v>6.7260265197617072E-3</v>
      </c>
      <c r="Q109" s="458">
        <v>0.65</v>
      </c>
      <c r="R109" s="343">
        <v>0.68250000000000011</v>
      </c>
      <c r="S109" s="343">
        <v>0.68932500000000008</v>
      </c>
      <c r="T109" s="60">
        <v>0.05</v>
      </c>
      <c r="U109" s="37">
        <v>0.01</v>
      </c>
      <c r="W109" s="464">
        <v>0.05</v>
      </c>
      <c r="X109" s="483">
        <v>0.1</v>
      </c>
      <c r="Y109" s="374">
        <v>0.1</v>
      </c>
      <c r="AA109" s="401">
        <v>0.63157894736842102</v>
      </c>
      <c r="AB109" s="395">
        <v>0.64722222222222237</v>
      </c>
      <c r="AC109" s="396">
        <v>0.65480555555555564</v>
      </c>
      <c r="AD109" s="15"/>
      <c r="AE109" s="63">
        <v>105.26315789473685</v>
      </c>
      <c r="AF109" s="62">
        <v>108.42105263157896</v>
      </c>
      <c r="AG109" s="62">
        <v>113.84210526315792</v>
      </c>
      <c r="AH109" s="60">
        <v>0.03</v>
      </c>
      <c r="AI109" s="37">
        <v>0.05</v>
      </c>
      <c r="AJ109" s="15"/>
      <c r="AK109" s="63">
        <v>126.31578947368422</v>
      </c>
      <c r="AL109" s="62">
        <v>130.10526315789474</v>
      </c>
      <c r="AM109" s="62">
        <v>136.61052631578949</v>
      </c>
      <c r="AN109" s="434">
        <v>0.03</v>
      </c>
      <c r="AO109" s="435">
        <v>0.05</v>
      </c>
      <c r="AQ109" s="63">
        <v>100</v>
      </c>
      <c r="AR109" s="64">
        <v>97.578947368421069</v>
      </c>
      <c r="AS109" s="64">
        <v>102.45789473684214</v>
      </c>
      <c r="AT109" s="56">
        <v>-2.4210526315789349E-2</v>
      </c>
      <c r="AU109" s="27">
        <v>5.0000000000000044E-2</v>
      </c>
      <c r="AW109" s="66">
        <v>52.631578947368553</v>
      </c>
      <c r="AX109" s="54">
        <v>116.66666666666674</v>
      </c>
      <c r="AY109" s="55">
        <v>120.16666666666674</v>
      </c>
      <c r="BA109" s="66">
        <v>631.57894736842104</v>
      </c>
      <c r="BB109" s="54">
        <v>679.58333333333348</v>
      </c>
      <c r="BC109" s="55">
        <v>708.1722083333334</v>
      </c>
      <c r="BE109" s="67">
        <v>368.42105263157896</v>
      </c>
      <c r="BF109" s="54">
        <v>370.41666666666652</v>
      </c>
      <c r="BG109" s="55">
        <v>373.3277916666666</v>
      </c>
      <c r="BI109" s="68">
        <v>1052.6315789473686</v>
      </c>
      <c r="BJ109" s="62">
        <v>1166.6666666666667</v>
      </c>
      <c r="BK109" s="69">
        <v>1201.6666666666667</v>
      </c>
      <c r="BM109" s="451">
        <v>10</v>
      </c>
      <c r="BN109" s="54">
        <v>10.760517799352749</v>
      </c>
      <c r="BO109" s="55">
        <v>10.555555555555552</v>
      </c>
      <c r="BP109" s="56">
        <v>7.6051779935274899E-2</v>
      </c>
      <c r="BQ109" s="27">
        <v>-1.9047619047619313E-2</v>
      </c>
      <c r="BR109" s="394">
        <v>2.205071664829107E-3</v>
      </c>
      <c r="BS109" s="395">
        <v>2.2322721813239342E-3</v>
      </c>
      <c r="BT109" s="396">
        <v>2.217095469226462E-3</v>
      </c>
      <c r="BV109" s="451">
        <v>4</v>
      </c>
      <c r="BW109" s="469">
        <v>4</v>
      </c>
      <c r="BX109" s="70">
        <v>0</v>
      </c>
      <c r="BY109" s="451">
        <v>4</v>
      </c>
      <c r="BZ109" s="71">
        <v>1234.5844389080992</v>
      </c>
      <c r="CA109" s="70">
        <v>307.64610972702479</v>
      </c>
      <c r="CB109" s="113">
        <v>5</v>
      </c>
      <c r="CC109" s="71">
        <v>4.5238095238095237</v>
      </c>
      <c r="CD109" s="70">
        <v>-9.5238095238095233E-2</v>
      </c>
      <c r="CF109" s="475">
        <v>1241.344956707452</v>
      </c>
      <c r="CG109" s="478">
        <v>45981.486104705182</v>
      </c>
      <c r="CH109" s="235">
        <v>8.6405921037351081E-3</v>
      </c>
      <c r="CI109" s="72">
        <v>10.079365079365076</v>
      </c>
      <c r="CJ109" s="69">
        <v>3762.9071064814793</v>
      </c>
      <c r="CK109" s="250">
        <v>0.7</v>
      </c>
      <c r="CM109" s="215">
        <v>2.5</v>
      </c>
      <c r="CN109" s="216">
        <v>1.7375509430489721E-2</v>
      </c>
      <c r="CO109" s="217">
        <v>2.2166666666666659</v>
      </c>
    </row>
    <row r="110" spans="2:93" ht="13.5" customHeight="1" x14ac:dyDescent="0.25">
      <c r="B110" s="540" t="s">
        <v>72</v>
      </c>
      <c r="C110" s="540"/>
      <c r="D110" s="540"/>
      <c r="E110" s="540"/>
      <c r="F110" s="88">
        <v>5000</v>
      </c>
      <c r="G110" s="89">
        <v>5250</v>
      </c>
      <c r="H110" s="90">
        <v>5407.5</v>
      </c>
      <c r="I110" s="90"/>
      <c r="J110" s="92"/>
      <c r="K110" s="92">
        <v>5.0000000000000044E-2</v>
      </c>
      <c r="L110" s="92">
        <v>3.0000000000000027E-2</v>
      </c>
      <c r="M110" s="366">
        <v>3.3806626098715348E-2</v>
      </c>
      <c r="N110" s="367">
        <v>3.392020675173639E-2</v>
      </c>
      <c r="O110" s="94">
        <v>3.3630132598808538E-2</v>
      </c>
      <c r="Q110" s="345">
        <v>0.68157894736842106</v>
      </c>
      <c r="R110" s="346">
        <v>0.74722222222222245</v>
      </c>
      <c r="S110" s="349">
        <v>0.75480555555555573</v>
      </c>
      <c r="T110" s="91">
        <v>9.6310596310596575E-2</v>
      </c>
      <c r="U110" s="92">
        <v>1.0148698884758334E-2</v>
      </c>
      <c r="V110" s="13"/>
      <c r="W110" s="375">
        <v>5.0000000000000079E-2</v>
      </c>
      <c r="X110" s="376">
        <v>0.10000000000000009</v>
      </c>
      <c r="Y110" s="377">
        <v>0.10000000000000009</v>
      </c>
      <c r="AA110" s="366">
        <v>0.63157894736842102</v>
      </c>
      <c r="AB110" s="367">
        <v>0.64722222222222237</v>
      </c>
      <c r="AC110" s="94">
        <v>0.65480555555555564</v>
      </c>
      <c r="AD110" s="15"/>
      <c r="AE110" s="95">
        <v>100</v>
      </c>
      <c r="AF110" s="96">
        <v>103</v>
      </c>
      <c r="AG110" s="99">
        <v>108.15</v>
      </c>
      <c r="AH110" s="91">
        <v>0.03</v>
      </c>
      <c r="AI110" s="92">
        <v>0.05</v>
      </c>
      <c r="AJ110" s="15"/>
      <c r="AK110" s="95">
        <v>120</v>
      </c>
      <c r="AL110" s="96">
        <v>123.6</v>
      </c>
      <c r="AM110" s="99">
        <v>129.78</v>
      </c>
      <c r="AN110" s="91">
        <v>0.03</v>
      </c>
      <c r="AO110" s="92">
        <v>0.05</v>
      </c>
      <c r="AQ110" s="95">
        <v>100</v>
      </c>
      <c r="AR110" s="96">
        <v>97.578947368421069</v>
      </c>
      <c r="AS110" s="99">
        <v>102.45789473684215</v>
      </c>
      <c r="AT110" s="91">
        <v>-2.4210526315789349E-2</v>
      </c>
      <c r="AU110" s="92">
        <v>5.0000000000000266E-2</v>
      </c>
      <c r="AW110" s="88">
        <v>263.15789473684276</v>
      </c>
      <c r="AX110" s="89">
        <v>583.33333333333371</v>
      </c>
      <c r="AY110" s="90">
        <v>600.83333333333371</v>
      </c>
      <c r="BA110" s="88">
        <v>3157.894736842105</v>
      </c>
      <c r="BB110" s="89">
        <v>3397.9166666666674</v>
      </c>
      <c r="BC110" s="90">
        <v>3540.861041666667</v>
      </c>
      <c r="BE110" s="88">
        <v>1842.1052631578948</v>
      </c>
      <c r="BF110" s="89">
        <v>1852.0833333333326</v>
      </c>
      <c r="BG110" s="90">
        <v>1866.638958333333</v>
      </c>
      <c r="BI110" s="100">
        <v>5263.1578947368425</v>
      </c>
      <c r="BJ110" s="101">
        <v>5833.3333333333339</v>
      </c>
      <c r="BK110" s="102">
        <v>6008.3333333333339</v>
      </c>
      <c r="BM110" s="88">
        <v>50</v>
      </c>
      <c r="BN110" s="89">
        <v>53.802588996763745</v>
      </c>
      <c r="BO110" s="90">
        <v>52.777777777777757</v>
      </c>
      <c r="BP110" s="91">
        <v>7.6051779935274899E-2</v>
      </c>
      <c r="BQ110" s="92">
        <v>-1.9047619047619313E-2</v>
      </c>
      <c r="BR110" s="366">
        <v>1.1025358324145534E-2</v>
      </c>
      <c r="BS110" s="367">
        <v>1.116136090661967E-2</v>
      </c>
      <c r="BT110" s="94">
        <v>1.108547734613231E-2</v>
      </c>
      <c r="BV110" s="88">
        <v>20</v>
      </c>
      <c r="BW110" s="285">
        <v>20</v>
      </c>
      <c r="BX110" s="91">
        <v>0</v>
      </c>
      <c r="BY110" s="88">
        <v>20</v>
      </c>
      <c r="BZ110" s="285">
        <v>6172.9221945404961</v>
      </c>
      <c r="CA110" s="91">
        <v>307.64610972702479</v>
      </c>
      <c r="CB110" s="285">
        <v>25</v>
      </c>
      <c r="CC110" s="285">
        <v>22.61904761904762</v>
      </c>
      <c r="CD110" s="103">
        <v>-9.5238095238095233E-2</v>
      </c>
      <c r="CF110" s="285">
        <v>6206.72478353726</v>
      </c>
      <c r="CG110" s="285">
        <v>229907.43052352592</v>
      </c>
      <c r="CH110" s="252">
        <v>8.6405921037351081E-3</v>
      </c>
      <c r="CI110" s="285">
        <v>50.396825396825378</v>
      </c>
      <c r="CJ110" s="285">
        <v>18814.535532407397</v>
      </c>
      <c r="CK110" s="308">
        <v>0.7</v>
      </c>
      <c r="CM110" s="290">
        <v>2.5</v>
      </c>
      <c r="CN110" s="291">
        <v>1.7375509430489721E-2</v>
      </c>
      <c r="CO110" s="292">
        <v>2.2166666666666659</v>
      </c>
    </row>
    <row r="111" spans="2:93" ht="13.5" customHeight="1" x14ac:dyDescent="0.25">
      <c r="B111" s="541" t="s">
        <v>73</v>
      </c>
      <c r="C111" s="541"/>
      <c r="D111" s="541"/>
      <c r="E111" s="541"/>
      <c r="F111" s="4">
        <v>10000</v>
      </c>
      <c r="G111" s="5">
        <v>10500</v>
      </c>
      <c r="H111" s="6">
        <v>10815</v>
      </c>
      <c r="I111" s="6"/>
      <c r="J111" s="8"/>
      <c r="K111" s="8">
        <v>5.0000000000000044E-2</v>
      </c>
      <c r="L111" s="8">
        <v>3.0000000000000027E-2</v>
      </c>
      <c r="M111" s="402">
        <v>6.7613252197430695E-2</v>
      </c>
      <c r="N111" s="318">
        <v>6.784041350347278E-2</v>
      </c>
      <c r="O111" s="9">
        <v>6.7260265197617075E-2</v>
      </c>
      <c r="Q111" s="347">
        <v>0.68157894736842106</v>
      </c>
      <c r="R111" s="348">
        <v>0.74722222222222245</v>
      </c>
      <c r="S111" s="350">
        <v>0.75480555555555573</v>
      </c>
      <c r="T111" s="7">
        <v>9.6310596310596575E-2</v>
      </c>
      <c r="U111" s="8">
        <v>1.0148698884758334E-2</v>
      </c>
      <c r="V111" s="13"/>
      <c r="W111" s="379">
        <v>5.0000000000000079E-2</v>
      </c>
      <c r="X111" s="380">
        <v>0.10000000000000009</v>
      </c>
      <c r="Y111" s="381">
        <v>0.10000000000000009</v>
      </c>
      <c r="AA111" s="402">
        <v>0.63157894736842102</v>
      </c>
      <c r="AB111" s="318">
        <v>0.64722222222222237</v>
      </c>
      <c r="AC111" s="9">
        <v>0.65480555555555564</v>
      </c>
      <c r="AD111" s="15"/>
      <c r="AE111" s="10">
        <v>100</v>
      </c>
      <c r="AF111" s="11">
        <v>103</v>
      </c>
      <c r="AG111" s="12">
        <v>108.15</v>
      </c>
      <c r="AH111" s="7">
        <v>0.03</v>
      </c>
      <c r="AI111" s="8">
        <v>0.05</v>
      </c>
      <c r="AJ111" s="15"/>
      <c r="AK111" s="10">
        <v>120</v>
      </c>
      <c r="AL111" s="11">
        <v>123.6</v>
      </c>
      <c r="AM111" s="12">
        <v>129.78</v>
      </c>
      <c r="AN111" s="7">
        <v>0.03</v>
      </c>
      <c r="AO111" s="8">
        <v>0.05</v>
      </c>
      <c r="AQ111" s="10">
        <v>100</v>
      </c>
      <c r="AR111" s="11">
        <v>97.578947368421069</v>
      </c>
      <c r="AS111" s="12">
        <v>102.45789473684215</v>
      </c>
      <c r="AT111" s="7">
        <v>-2.4210526315789349E-2</v>
      </c>
      <c r="AU111" s="8">
        <v>5.0000000000000266E-2</v>
      </c>
      <c r="AW111" s="4">
        <v>526.31578947368553</v>
      </c>
      <c r="AX111" s="5">
        <v>1166.6666666666674</v>
      </c>
      <c r="AY111" s="6">
        <v>1201.6666666666674</v>
      </c>
      <c r="BA111" s="4">
        <v>6315.78947368421</v>
      </c>
      <c r="BB111" s="5">
        <v>6795.8333333333348</v>
      </c>
      <c r="BC111" s="6">
        <v>7081.722083333334</v>
      </c>
      <c r="BE111" s="4">
        <v>3684.2105263157896</v>
      </c>
      <c r="BF111" s="5">
        <v>3704.1666666666652</v>
      </c>
      <c r="BG111" s="6">
        <v>3733.277916666666</v>
      </c>
      <c r="BI111" s="116">
        <v>10526.315789473685</v>
      </c>
      <c r="BJ111" s="16">
        <v>11666.666666666668</v>
      </c>
      <c r="BK111" s="17">
        <v>12016.666666666668</v>
      </c>
      <c r="BM111" s="4">
        <v>100</v>
      </c>
      <c r="BN111" s="5">
        <v>107.60517799352749</v>
      </c>
      <c r="BO111" s="6">
        <v>105.55555555555551</v>
      </c>
      <c r="BP111" s="7">
        <v>7.6051779935274899E-2</v>
      </c>
      <c r="BQ111" s="8">
        <v>-1.9047619047619313E-2</v>
      </c>
      <c r="BR111" s="402">
        <v>2.2050716648291068E-2</v>
      </c>
      <c r="BS111" s="318">
        <v>2.2322721813239341E-2</v>
      </c>
      <c r="BT111" s="9">
        <v>2.217095469226462E-2</v>
      </c>
      <c r="BV111" s="4">
        <v>40</v>
      </c>
      <c r="BW111" s="284">
        <v>40</v>
      </c>
      <c r="BX111" s="127">
        <v>0</v>
      </c>
      <c r="BY111" s="4">
        <v>40</v>
      </c>
      <c r="BZ111" s="284">
        <v>12345.844389080992</v>
      </c>
      <c r="CA111" s="127">
        <v>307.64610972702479</v>
      </c>
      <c r="CB111" s="284">
        <v>50</v>
      </c>
      <c r="CC111" s="284">
        <v>45.238095238095241</v>
      </c>
      <c r="CD111" s="127">
        <v>-9.5238095238095233E-2</v>
      </c>
      <c r="CF111" s="284">
        <v>12413.44956707452</v>
      </c>
      <c r="CG111" s="284">
        <v>459814.86104705185</v>
      </c>
      <c r="CH111" s="253">
        <v>8.6405921037351081E-3</v>
      </c>
      <c r="CI111" s="284">
        <v>100.79365079365076</v>
      </c>
      <c r="CJ111" s="284">
        <v>37629.071064814794</v>
      </c>
      <c r="CK111" s="309">
        <v>0.7</v>
      </c>
      <c r="CM111" s="293">
        <v>2.5</v>
      </c>
      <c r="CN111" s="294">
        <v>1.7375509430489721E-2</v>
      </c>
      <c r="CO111" s="295">
        <v>2.2166666666666659</v>
      </c>
    </row>
    <row r="112" spans="2:93" ht="13.5" customHeight="1" x14ac:dyDescent="0.25">
      <c r="B112" s="543" t="s">
        <v>74</v>
      </c>
      <c r="C112" s="543"/>
      <c r="D112" s="543"/>
      <c r="E112" s="543"/>
      <c r="F112" s="128">
        <v>28000</v>
      </c>
      <c r="G112" s="129">
        <v>29400</v>
      </c>
      <c r="H112" s="130">
        <v>30303</v>
      </c>
      <c r="I112" s="130"/>
      <c r="J112" s="132"/>
      <c r="K112" s="132">
        <v>5.0000000000000044E-2</v>
      </c>
      <c r="L112" s="132">
        <v>3.0714285714285694E-2</v>
      </c>
      <c r="M112" s="368">
        <v>0.18931710615280595</v>
      </c>
      <c r="N112" s="369">
        <v>0.1899531578097238</v>
      </c>
      <c r="O112" s="133">
        <v>0.18845934501002221</v>
      </c>
      <c r="Q112" s="351">
        <v>0.68157894736842095</v>
      </c>
      <c r="R112" s="352">
        <v>0.74722222222222223</v>
      </c>
      <c r="S112" s="353">
        <v>0.75529119646051568</v>
      </c>
      <c r="T112" s="131">
        <v>9.6310596310596575E-2</v>
      </c>
      <c r="U112" s="132">
        <v>1.0798627233403968E-2</v>
      </c>
      <c r="V112" s="13"/>
      <c r="W112" s="383">
        <v>5.0000000000000031E-2</v>
      </c>
      <c r="X112" s="384">
        <v>9.9999999999999936E-2</v>
      </c>
      <c r="Y112" s="385">
        <v>9.9707036548094888E-2</v>
      </c>
      <c r="AA112" s="368">
        <v>0.63157894736842091</v>
      </c>
      <c r="AB112" s="369">
        <v>0.64722222222222225</v>
      </c>
      <c r="AC112" s="133">
        <v>0.65558415991242081</v>
      </c>
      <c r="AD112" s="15"/>
      <c r="AE112" s="134">
        <v>69.999999999999972</v>
      </c>
      <c r="AF112" s="135">
        <v>72.099999999999966</v>
      </c>
      <c r="AG112" s="136">
        <v>75.70499999999997</v>
      </c>
      <c r="AH112" s="131">
        <v>0.03</v>
      </c>
      <c r="AI112" s="132">
        <v>0.05</v>
      </c>
      <c r="AJ112" s="15"/>
      <c r="AK112" s="134">
        <v>83.999999999999957</v>
      </c>
      <c r="AL112" s="135">
        <v>86.519999999999953</v>
      </c>
      <c r="AM112" s="136">
        <v>90.845999999999961</v>
      </c>
      <c r="AN112" s="131">
        <v>0.03</v>
      </c>
      <c r="AO112" s="132">
        <v>0.05</v>
      </c>
      <c r="AQ112" s="134">
        <v>70</v>
      </c>
      <c r="AR112" s="135">
        <v>68.305263157894743</v>
      </c>
      <c r="AS112" s="136">
        <v>71.724092098186134</v>
      </c>
      <c r="AT112" s="131">
        <v>-2.4210526315789349E-2</v>
      </c>
      <c r="AU112" s="132">
        <v>5.0052203625779335E-2</v>
      </c>
      <c r="AW112" s="128">
        <v>1473.684210526319</v>
      </c>
      <c r="AX112" s="129">
        <v>3266.666666666667</v>
      </c>
      <c r="AY112" s="130">
        <v>3356.0434782608709</v>
      </c>
      <c r="BA112" s="128">
        <v>17684.210526315786</v>
      </c>
      <c r="BB112" s="129">
        <v>19028.333333333336</v>
      </c>
      <c r="BC112" s="130">
        <v>19866.166797826088</v>
      </c>
      <c r="BE112" s="128">
        <v>10315.78947368421</v>
      </c>
      <c r="BF112" s="129">
        <v>10371.666666666662</v>
      </c>
      <c r="BG112" s="130">
        <v>10436.833202173912</v>
      </c>
      <c r="BI112" s="137">
        <v>29473.684210526317</v>
      </c>
      <c r="BJ112" s="138">
        <v>32666.666666666664</v>
      </c>
      <c r="BK112" s="139">
        <v>33659.043478260872</v>
      </c>
      <c r="BM112" s="128">
        <v>400</v>
      </c>
      <c r="BN112" s="129">
        <v>430.42071197410996</v>
      </c>
      <c r="BO112" s="130">
        <v>422.494019980301</v>
      </c>
      <c r="BP112" s="131">
        <v>7.6051779935274899E-2</v>
      </c>
      <c r="BQ112" s="132">
        <v>-1.8416149068323118E-2</v>
      </c>
      <c r="BR112" s="368">
        <v>8.8202866593164272E-2</v>
      </c>
      <c r="BS112" s="369">
        <v>8.9290887252957363E-2</v>
      </c>
      <c r="BT112" s="133">
        <v>8.8740907339604214E-2</v>
      </c>
      <c r="BV112" s="128">
        <v>4156</v>
      </c>
      <c r="BW112" s="286">
        <v>2656</v>
      </c>
      <c r="BX112" s="157">
        <v>-0.36092396535129934</v>
      </c>
      <c r="BY112" s="128">
        <v>3156</v>
      </c>
      <c r="BZ112" s="286">
        <v>89619.726257547518</v>
      </c>
      <c r="CA112" s="157">
        <v>27.396617952328111</v>
      </c>
      <c r="CB112" s="286">
        <v>200</v>
      </c>
      <c r="CC112" s="286">
        <v>181.06886570584336</v>
      </c>
      <c r="CD112" s="157">
        <v>-9.4655671470783131E-2</v>
      </c>
      <c r="CF112" s="286">
        <v>86894.146969521622</v>
      </c>
      <c r="CG112" s="286">
        <v>1839259.4441882074</v>
      </c>
      <c r="CH112" s="254">
        <v>4.7797891115023963E-3</v>
      </c>
      <c r="CI112" s="286">
        <v>403.56288568614434</v>
      </c>
      <c r="CJ112" s="286">
        <v>105248.28831431601</v>
      </c>
      <c r="CK112" s="310">
        <v>0.7</v>
      </c>
      <c r="CM112" s="296">
        <v>0.11743981209630065</v>
      </c>
      <c r="CN112" s="297">
        <v>9.2787354912049376E-3</v>
      </c>
      <c r="CO112" s="298">
        <v>2.2174155802402118</v>
      </c>
    </row>
    <row r="113" spans="2:95" customFormat="1" ht="13.5" customHeight="1" x14ac:dyDescent="0.25">
      <c r="CQ113" s="2"/>
    </row>
    <row r="114" spans="2:95" ht="13.5" customHeight="1" outlineLevel="1" x14ac:dyDescent="0.25">
      <c r="B114" s="24" t="s">
        <v>137</v>
      </c>
      <c r="C114" s="24" t="s">
        <v>137</v>
      </c>
      <c r="D114" s="24" t="s">
        <v>137</v>
      </c>
      <c r="E114" s="24" t="s">
        <v>137</v>
      </c>
      <c r="F114" s="502">
        <v>1000</v>
      </c>
      <c r="G114" s="500">
        <v>1050</v>
      </c>
      <c r="H114" s="501">
        <v>1081.5</v>
      </c>
      <c r="I114" s="503"/>
      <c r="J114" s="504"/>
      <c r="K114" s="505">
        <v>0.05</v>
      </c>
      <c r="L114" s="505">
        <v>0.03</v>
      </c>
      <c r="M114" s="506">
        <v>6.7613252197430695E-3</v>
      </c>
      <c r="N114" s="507">
        <v>6.7840413503472783E-3</v>
      </c>
      <c r="O114" s="508">
        <v>6.7260265197617072E-3</v>
      </c>
      <c r="P114" s="158"/>
      <c r="Q114" s="509">
        <v>0.65</v>
      </c>
      <c r="R114" s="510">
        <v>0.68250000000000011</v>
      </c>
      <c r="S114" s="510">
        <v>0.68932500000000008</v>
      </c>
      <c r="T114" s="511">
        <v>0.05</v>
      </c>
      <c r="U114" s="512">
        <v>0.01</v>
      </c>
      <c r="V114" s="158"/>
      <c r="W114" s="513">
        <v>0.05</v>
      </c>
      <c r="X114" s="514">
        <v>0.1</v>
      </c>
      <c r="Y114" s="515">
        <v>0.1</v>
      </c>
      <c r="Z114" s="158"/>
      <c r="AA114" s="516">
        <v>0.63157894736842102</v>
      </c>
      <c r="AB114" s="507">
        <v>0.64722222222222237</v>
      </c>
      <c r="AC114" s="508">
        <v>0.65480555555555564</v>
      </c>
      <c r="AD114" s="517"/>
      <c r="AE114" s="518">
        <v>105.26315789473685</v>
      </c>
      <c r="AF114" s="519">
        <v>108.42105263157896</v>
      </c>
      <c r="AG114" s="519">
        <v>113.84210526315792</v>
      </c>
      <c r="AH114" s="511">
        <v>0.03</v>
      </c>
      <c r="AI114" s="512">
        <v>0.05</v>
      </c>
      <c r="AJ114" s="517"/>
      <c r="AK114" s="518">
        <v>126.31578947368422</v>
      </c>
      <c r="AL114" s="519">
        <v>130.10526315789474</v>
      </c>
      <c r="AM114" s="519">
        <v>136.61052631578949</v>
      </c>
      <c r="AN114" s="520">
        <v>0.03</v>
      </c>
      <c r="AO114" s="521">
        <v>0.05</v>
      </c>
      <c r="AP114" s="158"/>
      <c r="AQ114" s="518">
        <v>100</v>
      </c>
      <c r="AR114" s="522">
        <v>97.578947368421069</v>
      </c>
      <c r="AS114" s="522">
        <v>102.45789473684214</v>
      </c>
      <c r="AT114" s="523">
        <v>-2.4210526315789349E-2</v>
      </c>
      <c r="AU114" s="524">
        <v>5.0000000000000044E-2</v>
      </c>
      <c r="AV114" s="158"/>
      <c r="AW114" s="525">
        <v>52.631578947368553</v>
      </c>
      <c r="AX114" s="500">
        <v>116.66666666666674</v>
      </c>
      <c r="AY114" s="501">
        <v>120.16666666666674</v>
      </c>
      <c r="AZ114" s="158"/>
      <c r="BA114" s="525">
        <v>631.57894736842104</v>
      </c>
      <c r="BB114" s="500">
        <v>679.58333333333348</v>
      </c>
      <c r="BC114" s="501">
        <v>708.1722083333334</v>
      </c>
      <c r="BD114" s="158"/>
      <c r="BE114" s="499">
        <v>368.42105263157896</v>
      </c>
      <c r="BF114" s="500">
        <v>370.41666666666652</v>
      </c>
      <c r="BG114" s="501">
        <v>373.3277916666666</v>
      </c>
      <c r="BH114" s="158"/>
      <c r="BI114" s="526">
        <v>1052.6315789473686</v>
      </c>
      <c r="BJ114" s="519">
        <v>1166.6666666666667</v>
      </c>
      <c r="BK114" s="527">
        <v>1201.6666666666667</v>
      </c>
      <c r="BL114" s="158"/>
      <c r="BM114" s="502">
        <v>10</v>
      </c>
      <c r="BN114" s="500">
        <v>10.760517799352749</v>
      </c>
      <c r="BO114" s="501">
        <v>10.555555555555552</v>
      </c>
      <c r="BP114" s="523">
        <v>7.6051779935274899E-2</v>
      </c>
      <c r="BQ114" s="524">
        <v>-1.9047619047619313E-2</v>
      </c>
      <c r="BR114" s="506">
        <v>2.205071664829107E-3</v>
      </c>
      <c r="BS114" s="507">
        <v>2.2322721813239342E-3</v>
      </c>
      <c r="BT114" s="508">
        <v>2.217095469226462E-3</v>
      </c>
      <c r="BU114" s="158"/>
      <c r="BV114" s="502">
        <v>4</v>
      </c>
      <c r="BW114" s="528">
        <v>4</v>
      </c>
      <c r="BX114" s="497">
        <v>0</v>
      </c>
      <c r="BY114" s="502">
        <v>4</v>
      </c>
      <c r="BZ114" s="529">
        <v>1234.5844389080992</v>
      </c>
      <c r="CA114" s="497">
        <v>307.64610972702479</v>
      </c>
      <c r="CB114" s="530">
        <v>5</v>
      </c>
      <c r="CC114" s="529">
        <v>4.5238095238095237</v>
      </c>
      <c r="CD114" s="497">
        <v>-9.5238095238095233E-2</v>
      </c>
      <c r="CE114" s="158"/>
      <c r="CF114" s="531">
        <v>1241.344956707452</v>
      </c>
      <c r="CG114" s="532">
        <v>45981.486104705182</v>
      </c>
      <c r="CH114" s="533">
        <v>8.6405921037351081E-3</v>
      </c>
      <c r="CI114" s="496">
        <v>10.079365079365076</v>
      </c>
      <c r="CJ114" s="527">
        <v>3762.9071064814793</v>
      </c>
      <c r="CK114" s="536">
        <v>0.7</v>
      </c>
      <c r="CM114" s="534">
        <v>2.5</v>
      </c>
      <c r="CN114" s="534">
        <v>1.7375509430489721E-2</v>
      </c>
      <c r="CO114" s="535">
        <v>2.2166666666666659</v>
      </c>
    </row>
    <row r="115" spans="2:95" ht="13.5" customHeight="1" x14ac:dyDescent="0.25">
      <c r="B115" s="495"/>
      <c r="C115" s="495"/>
      <c r="D115" s="495"/>
      <c r="E115" s="495"/>
      <c r="M115" s="154"/>
      <c r="N115" s="424"/>
      <c r="O115" s="424"/>
      <c r="Q115" s="357"/>
      <c r="R115" s="357"/>
      <c r="S115" s="357"/>
      <c r="W115" s="387"/>
      <c r="X115" s="387"/>
      <c r="Y115" s="387"/>
      <c r="AA115" s="357"/>
      <c r="AB115" s="357"/>
      <c r="AC115" s="357"/>
      <c r="AT115" s="154"/>
      <c r="AU115" s="154"/>
      <c r="BE115" s="498"/>
      <c r="BF115" s="498"/>
      <c r="BG115" s="498"/>
      <c r="BM115" s="498"/>
      <c r="BN115" s="498"/>
      <c r="BO115" s="498"/>
      <c r="BP115" s="154"/>
      <c r="BQ115" s="154"/>
      <c r="BR115" s="424"/>
      <c r="BS115" s="424"/>
      <c r="BT115" s="424"/>
      <c r="BV115" s="498"/>
      <c r="BY115" s="498"/>
      <c r="CI115" s="53"/>
    </row>
    <row r="116" spans="2:95" s="19" customFormat="1" ht="13.5" customHeight="1" x14ac:dyDescent="0.25">
      <c r="B116" s="542" t="s">
        <v>75</v>
      </c>
      <c r="C116" s="542"/>
      <c r="D116" s="542"/>
      <c r="E116" s="542"/>
      <c r="F116" s="263">
        <v>82900</v>
      </c>
      <c r="G116" s="263">
        <v>86525</v>
      </c>
      <c r="H116" s="263">
        <v>90495.8</v>
      </c>
      <c r="I116" s="267"/>
      <c r="J116" s="268"/>
      <c r="K116" s="264">
        <v>4.3727382388419889E-2</v>
      </c>
      <c r="L116" s="265">
        <v>4.5891938746027261E-2</v>
      </c>
      <c r="M116" s="370">
        <v>0.56051386071670051</v>
      </c>
      <c r="N116" s="371">
        <v>0.55903731222742692</v>
      </c>
      <c r="O116" s="372">
        <v>0.56280827621548912</v>
      </c>
      <c r="Q116" s="358">
        <v>0.61364487568247594</v>
      </c>
      <c r="R116" s="359">
        <v>0.67046722621295662</v>
      </c>
      <c r="S116" s="360">
        <v>0.67615322940561429</v>
      </c>
      <c r="T116" s="264">
        <v>9.2598101576721659E-2</v>
      </c>
      <c r="U116" s="265">
        <v>8.4806579208565047E-3</v>
      </c>
      <c r="V116" s="256"/>
      <c r="W116" s="370">
        <v>4.2213938240270768E-2</v>
      </c>
      <c r="X116" s="371">
        <v>7.9853294195201444E-2</v>
      </c>
      <c r="Y116" s="372">
        <v>8.2336581590096838E-2</v>
      </c>
      <c r="AA116" s="370">
        <v>0.57143093744220519</v>
      </c>
      <c r="AB116" s="371">
        <v>0.59061393201775514</v>
      </c>
      <c r="AC116" s="372">
        <v>0.59381664781551746</v>
      </c>
      <c r="AD116" s="258"/>
      <c r="AE116" s="271">
        <v>62.69778504666597</v>
      </c>
      <c r="AF116" s="272">
        <v>64.578718598065947</v>
      </c>
      <c r="AG116" s="273">
        <v>67.807654527969248</v>
      </c>
      <c r="AH116" s="264">
        <v>0.03</v>
      </c>
      <c r="AI116" s="265">
        <v>0.05</v>
      </c>
      <c r="AJ116" s="258"/>
      <c r="AK116" s="271">
        <v>75.237342055999164</v>
      </c>
      <c r="AL116" s="272">
        <v>77.494462317679137</v>
      </c>
      <c r="AM116" s="273">
        <v>81.369185433563089</v>
      </c>
      <c r="AN116" s="264">
        <v>0.03</v>
      </c>
      <c r="AO116" s="265">
        <v>0.05</v>
      </c>
      <c r="AQ116" s="271">
        <v>64.5136186770428</v>
      </c>
      <c r="AR116" s="272">
        <v>65.387536728233229</v>
      </c>
      <c r="AS116" s="273">
        <v>68.020054528185852</v>
      </c>
      <c r="AT116" s="264">
        <v>1.3546256885159202E-2</v>
      </c>
      <c r="AU116" s="265">
        <v>4.0260238138255966E-2</v>
      </c>
      <c r="AW116" s="274">
        <v>4653.7757437071004</v>
      </c>
      <c r="AX116" s="263">
        <v>8558.9181286549701</v>
      </c>
      <c r="AY116" s="275">
        <v>9201.1598565214044</v>
      </c>
      <c r="BA116" s="274">
        <v>47371.624713958809</v>
      </c>
      <c r="BB116" s="263">
        <v>51102.870467836263</v>
      </c>
      <c r="BC116" s="275">
        <v>53737.912597383511</v>
      </c>
      <c r="BE116" s="263">
        <v>34528.375286041191</v>
      </c>
      <c r="BF116" s="263">
        <v>34372.12953216373</v>
      </c>
      <c r="BG116" s="263">
        <v>35676.387402616499</v>
      </c>
      <c r="BI116" s="276">
        <v>86553.775743707098</v>
      </c>
      <c r="BJ116" s="277">
        <v>94033.918128654972</v>
      </c>
      <c r="BK116" s="278">
        <v>98615.459856521396</v>
      </c>
      <c r="BM116" s="263">
        <v>1285</v>
      </c>
      <c r="BN116" s="263">
        <v>1323.2644067877843</v>
      </c>
      <c r="BO116" s="263">
        <v>1330.4282189674041</v>
      </c>
      <c r="BP116" s="264">
        <v>2.9777748472983978E-2</v>
      </c>
      <c r="BQ116" s="265">
        <v>5.4137420630921973E-3</v>
      </c>
      <c r="BR116" s="370">
        <v>0.28335170893054024</v>
      </c>
      <c r="BS116" s="371">
        <v>0.27451154106972131</v>
      </c>
      <c r="BT116" s="372">
        <v>0.27944397250139974</v>
      </c>
      <c r="BV116" s="274">
        <v>4321.5</v>
      </c>
      <c r="BW116" s="287">
        <v>2827.4</v>
      </c>
      <c r="BX116" s="266">
        <v>-0.34573643410852706</v>
      </c>
      <c r="BY116" s="263">
        <v>3312</v>
      </c>
      <c r="BZ116" s="287">
        <v>178658.6640559815</v>
      </c>
      <c r="CA116" s="266">
        <v>52.942833350235958</v>
      </c>
      <c r="CB116" s="287">
        <v>389</v>
      </c>
      <c r="CC116" s="288">
        <v>563.12512320808571</v>
      </c>
      <c r="CD116" s="265">
        <v>0.44762242469944913</v>
      </c>
      <c r="CF116" s="279">
        <v>176669.92846276925</v>
      </c>
      <c r="CG116" s="278">
        <v>3490666.9995387732</v>
      </c>
      <c r="CH116" s="311">
        <v>7.352207069286471E-3</v>
      </c>
      <c r="CI116" s="279">
        <v>1504.5533421754899</v>
      </c>
      <c r="CJ116" s="278">
        <v>2929473.2351126582</v>
      </c>
      <c r="CK116" s="314">
        <v>0.70260931621756406</v>
      </c>
      <c r="CM116" s="299">
        <v>0.35949586649694359</v>
      </c>
      <c r="CN116" s="300">
        <v>1.4543711357570195E-2</v>
      </c>
      <c r="CO116" s="301">
        <v>2.7946499604687789</v>
      </c>
      <c r="CQ116" s="2"/>
    </row>
    <row r="117" spans="2:95" ht="13.5" customHeight="1" x14ac:dyDescent="0.25">
      <c r="N117" s="357"/>
      <c r="O117" s="357"/>
      <c r="Q117" s="357"/>
      <c r="R117" s="357"/>
      <c r="S117" s="357"/>
      <c r="W117" s="387"/>
      <c r="X117" s="387"/>
      <c r="Y117" s="387"/>
      <c r="AA117" s="357"/>
      <c r="AB117" s="357"/>
      <c r="AC117" s="357"/>
      <c r="BR117" s="357"/>
      <c r="BS117" s="357"/>
      <c r="BT117" s="357"/>
      <c r="CI117" s="53"/>
    </row>
    <row r="118" spans="2:95" ht="13.5" customHeight="1" outlineLevel="1" x14ac:dyDescent="0.25">
      <c r="B118" s="160" t="s">
        <v>76</v>
      </c>
      <c r="C118" s="23" t="s">
        <v>77</v>
      </c>
      <c r="D118" s="23" t="s">
        <v>24</v>
      </c>
      <c r="E118" s="24" t="s">
        <v>138</v>
      </c>
      <c r="F118" s="453">
        <v>1000</v>
      </c>
      <c r="G118" s="162">
        <v>1050</v>
      </c>
      <c r="H118" s="162">
        <v>1081.5</v>
      </c>
      <c r="I118" s="166"/>
      <c r="J118" s="167"/>
      <c r="K118" s="168">
        <v>0.05</v>
      </c>
      <c r="L118" s="169">
        <v>0.03</v>
      </c>
      <c r="M118" s="408">
        <v>6.7613252197430695E-3</v>
      </c>
      <c r="N118" s="408">
        <v>6.7840413503472783E-3</v>
      </c>
      <c r="O118" s="409">
        <v>6.7260265197617072E-3</v>
      </c>
      <c r="P118" s="29"/>
      <c r="Q118" s="460">
        <v>0.65</v>
      </c>
      <c r="R118" s="342">
        <v>0.68250000000000011</v>
      </c>
      <c r="S118" s="355">
        <v>0.68932500000000008</v>
      </c>
      <c r="T118" s="170">
        <v>0.05</v>
      </c>
      <c r="U118" s="171">
        <v>0.01</v>
      </c>
      <c r="V118" s="29"/>
      <c r="W118" s="466">
        <v>0.05</v>
      </c>
      <c r="X118" s="485">
        <v>0.1</v>
      </c>
      <c r="Y118" s="388">
        <v>0.1</v>
      </c>
      <c r="AA118" s="407">
        <v>0.63157894736842102</v>
      </c>
      <c r="AB118" s="408">
        <v>0.64722222222222237</v>
      </c>
      <c r="AC118" s="409">
        <v>0.65480555555555564</v>
      </c>
      <c r="AE118" s="172">
        <v>21.05263157894737</v>
      </c>
      <c r="AF118" s="44">
        <v>21.684210526315791</v>
      </c>
      <c r="AG118" s="45">
        <v>22.768421052631581</v>
      </c>
      <c r="AH118" s="170">
        <v>0.03</v>
      </c>
      <c r="AI118" s="171">
        <v>0.05</v>
      </c>
      <c r="AK118" s="172">
        <v>25.263157894736842</v>
      </c>
      <c r="AL118" s="44">
        <v>26.02105263157895</v>
      </c>
      <c r="AM118" s="45">
        <v>27.322105263157898</v>
      </c>
      <c r="AN118" s="441">
        <v>0.03</v>
      </c>
      <c r="AO118" s="442">
        <v>0.05</v>
      </c>
      <c r="AQ118" s="172">
        <v>20</v>
      </c>
      <c r="AR118" s="220">
        <v>19.515789473684212</v>
      </c>
      <c r="AS118" s="221">
        <v>20.491578947368424</v>
      </c>
      <c r="AT118" s="163">
        <v>-2.421052631578946E-2</v>
      </c>
      <c r="AU118" s="164">
        <v>5.0000000000000044E-2</v>
      </c>
      <c r="AW118" s="173">
        <v>52.631578947368553</v>
      </c>
      <c r="AX118" s="162">
        <v>116.66666666666674</v>
      </c>
      <c r="AY118" s="162">
        <v>120.16666666666674</v>
      </c>
      <c r="BA118" s="173">
        <v>631.57894736842104</v>
      </c>
      <c r="BB118" s="162">
        <v>679.58333333333348</v>
      </c>
      <c r="BC118" s="162">
        <v>708.1722083333334</v>
      </c>
      <c r="BE118" s="222">
        <v>368.42105263157896</v>
      </c>
      <c r="BF118" s="162">
        <v>370.41666666666652</v>
      </c>
      <c r="BG118" s="162">
        <v>373.3277916666666</v>
      </c>
      <c r="BI118" s="173">
        <v>1052.6315789473686</v>
      </c>
      <c r="BJ118" s="162">
        <v>1166.6666666666667</v>
      </c>
      <c r="BK118" s="174">
        <v>1201.6666666666667</v>
      </c>
      <c r="BM118" s="453">
        <v>50</v>
      </c>
      <c r="BN118" s="162">
        <v>53.802588996763753</v>
      </c>
      <c r="BO118" s="162">
        <v>52.777777777777771</v>
      </c>
      <c r="BP118" s="163">
        <v>7.6051779935275121E-2</v>
      </c>
      <c r="BQ118" s="164">
        <v>-1.9047619047619091E-2</v>
      </c>
      <c r="BR118" s="408">
        <v>1.1025358324145534E-2</v>
      </c>
      <c r="BS118" s="408">
        <v>1.1161360906619672E-2</v>
      </c>
      <c r="BT118" s="409">
        <v>1.1085477346132314E-2</v>
      </c>
      <c r="BV118" s="453">
        <v>4</v>
      </c>
      <c r="BW118" s="472">
        <v>4</v>
      </c>
      <c r="BX118" s="165">
        <v>0</v>
      </c>
      <c r="BY118" s="453">
        <v>4</v>
      </c>
      <c r="BZ118" s="173">
        <v>1191.5423677106883</v>
      </c>
      <c r="CA118" s="165">
        <v>296.88559192767207</v>
      </c>
      <c r="CB118" s="175">
        <v>5</v>
      </c>
      <c r="CC118" s="245">
        <v>22.61904761904762</v>
      </c>
      <c r="CD118" s="429">
        <v>3.5238095238095237</v>
      </c>
      <c r="CF118" s="489">
        <v>1241.344956707452</v>
      </c>
      <c r="CG118" s="480">
        <v>45981.486104705182</v>
      </c>
      <c r="CH118" s="163">
        <v>4.3202960518675546E-2</v>
      </c>
      <c r="CI118" s="245">
        <v>70.396825396825392</v>
      </c>
      <c r="CJ118" s="174">
        <v>26281.091365740733</v>
      </c>
      <c r="CK118" s="280">
        <v>0.7</v>
      </c>
      <c r="CM118" s="237">
        <v>12.5</v>
      </c>
      <c r="CN118" s="238">
        <v>9.000532385947789E-2</v>
      </c>
      <c r="CO118" s="239">
        <v>3.8218390804597693</v>
      </c>
    </row>
    <row r="119" spans="2:95" ht="13.5" customHeight="1" outlineLevel="1" x14ac:dyDescent="0.25">
      <c r="B119" s="15"/>
      <c r="C119" s="53"/>
      <c r="D119" s="53"/>
      <c r="E119" s="24" t="s">
        <v>139</v>
      </c>
      <c r="F119" s="454">
        <v>1000</v>
      </c>
      <c r="G119" s="177">
        <v>1050</v>
      </c>
      <c r="H119" s="177">
        <v>1081.5</v>
      </c>
      <c r="I119" s="181"/>
      <c r="J119" s="182"/>
      <c r="K119" s="183">
        <v>0.05</v>
      </c>
      <c r="L119" s="184">
        <v>0.03</v>
      </c>
      <c r="M119" s="411">
        <v>6.7613252197430695E-3</v>
      </c>
      <c r="N119" s="411">
        <v>6.7840413503472783E-3</v>
      </c>
      <c r="O119" s="412">
        <v>6.7260265197617072E-3</v>
      </c>
      <c r="P119" s="29"/>
      <c r="Q119" s="461">
        <v>0.65</v>
      </c>
      <c r="R119" s="343">
        <v>0.68250000000000011</v>
      </c>
      <c r="S119" s="356">
        <v>0.68932500000000008</v>
      </c>
      <c r="T119" s="185">
        <v>0.05</v>
      </c>
      <c r="U119" s="186">
        <v>0.01</v>
      </c>
      <c r="W119" s="467">
        <v>0.05</v>
      </c>
      <c r="X119" s="486">
        <v>0.1</v>
      </c>
      <c r="Y119" s="389">
        <v>0.1</v>
      </c>
      <c r="AA119" s="410">
        <v>0.63157894736842102</v>
      </c>
      <c r="AB119" s="411">
        <v>0.64722222222222237</v>
      </c>
      <c r="AC119" s="412">
        <v>0.65480555555555564</v>
      </c>
      <c r="AE119" s="187">
        <v>21.05263157894737</v>
      </c>
      <c r="AF119" s="62">
        <v>21.684210526315791</v>
      </c>
      <c r="AG119" s="69">
        <v>22.768421052631581</v>
      </c>
      <c r="AH119" s="185">
        <v>0.03</v>
      </c>
      <c r="AI119" s="186">
        <v>0.05</v>
      </c>
      <c r="AK119" s="187">
        <v>25.263157894736842</v>
      </c>
      <c r="AL119" s="62">
        <v>26.02105263157895</v>
      </c>
      <c r="AM119" s="69">
        <v>27.322105263157898</v>
      </c>
      <c r="AN119" s="420">
        <v>0.03</v>
      </c>
      <c r="AO119" s="443">
        <v>0.05</v>
      </c>
      <c r="AQ119" s="187">
        <v>20</v>
      </c>
      <c r="AR119" s="64">
        <v>19.515789473684212</v>
      </c>
      <c r="AS119" s="65">
        <v>20.491578947368424</v>
      </c>
      <c r="AT119" s="178">
        <v>-2.421052631578946E-2</v>
      </c>
      <c r="AU119" s="179">
        <v>5.0000000000000044E-2</v>
      </c>
      <c r="AW119" s="188">
        <v>52.631578947368553</v>
      </c>
      <c r="AX119" s="177">
        <v>116.66666666666674</v>
      </c>
      <c r="AY119" s="177">
        <v>120.16666666666674</v>
      </c>
      <c r="BA119" s="188">
        <v>631.57894736842104</v>
      </c>
      <c r="BB119" s="177">
        <v>679.58333333333348</v>
      </c>
      <c r="BC119" s="177">
        <v>708.1722083333334</v>
      </c>
      <c r="BE119" s="223">
        <v>368.42105263157896</v>
      </c>
      <c r="BF119" s="177">
        <v>370.41666666666652</v>
      </c>
      <c r="BG119" s="177">
        <v>373.3277916666666</v>
      </c>
      <c r="BI119" s="188">
        <v>1052.6315789473686</v>
      </c>
      <c r="BJ119" s="177">
        <v>1166.6666666666667</v>
      </c>
      <c r="BK119" s="189">
        <v>1201.6666666666667</v>
      </c>
      <c r="BM119" s="454">
        <v>50</v>
      </c>
      <c r="BN119" s="177">
        <v>53.802588996763753</v>
      </c>
      <c r="BO119" s="177">
        <v>52.777777777777771</v>
      </c>
      <c r="BP119" s="178">
        <v>7.6051779935275121E-2</v>
      </c>
      <c r="BQ119" s="179">
        <v>-1.9047619047619091E-2</v>
      </c>
      <c r="BR119" s="411">
        <v>1.1025358324145534E-2</v>
      </c>
      <c r="BS119" s="411">
        <v>1.1161360906619672E-2</v>
      </c>
      <c r="BT119" s="412">
        <v>1.1085477346132314E-2</v>
      </c>
      <c r="BV119" s="454">
        <v>4</v>
      </c>
      <c r="BW119" s="473">
        <v>4</v>
      </c>
      <c r="BX119" s="180">
        <v>0</v>
      </c>
      <c r="BY119" s="454">
        <v>4</v>
      </c>
      <c r="BZ119" s="188">
        <v>1191.5423677106883</v>
      </c>
      <c r="CA119" s="180">
        <v>296.88559192767207</v>
      </c>
      <c r="CB119" s="190">
        <v>5</v>
      </c>
      <c r="CC119" s="246">
        <v>22.61904761904762</v>
      </c>
      <c r="CD119" s="430">
        <v>3.5238095238095237</v>
      </c>
      <c r="CF119" s="490">
        <v>1241.344956707452</v>
      </c>
      <c r="CG119" s="481">
        <v>45981.486104705182</v>
      </c>
      <c r="CH119" s="178">
        <v>4.3202960518675546E-2</v>
      </c>
      <c r="CI119" s="246">
        <v>70.396825396825392</v>
      </c>
      <c r="CJ119" s="189">
        <v>26281.091365740733</v>
      </c>
      <c r="CK119" s="281">
        <v>0.7</v>
      </c>
      <c r="CM119" s="240">
        <v>12.5</v>
      </c>
      <c r="CN119" s="241">
        <v>9.000532385947789E-2</v>
      </c>
      <c r="CO119" s="242">
        <v>3.8218390804597693</v>
      </c>
    </row>
    <row r="120" spans="2:95" ht="13.5" customHeight="1" outlineLevel="1" x14ac:dyDescent="0.25">
      <c r="B120" s="15"/>
      <c r="C120" s="53"/>
      <c r="D120" s="53"/>
      <c r="E120" s="24" t="s">
        <v>140</v>
      </c>
      <c r="F120" s="454">
        <v>1000</v>
      </c>
      <c r="G120" s="177">
        <v>1050</v>
      </c>
      <c r="H120" s="177">
        <v>1081.5</v>
      </c>
      <c r="I120" s="181"/>
      <c r="J120" s="182"/>
      <c r="K120" s="183">
        <v>0.05</v>
      </c>
      <c r="L120" s="184">
        <v>0.03</v>
      </c>
      <c r="M120" s="411">
        <v>6.7613252197430695E-3</v>
      </c>
      <c r="N120" s="411">
        <v>6.7840413503472783E-3</v>
      </c>
      <c r="O120" s="412">
        <v>6.7260265197617072E-3</v>
      </c>
      <c r="P120" s="29"/>
      <c r="Q120" s="461">
        <v>0.65</v>
      </c>
      <c r="R120" s="343">
        <v>0.68250000000000011</v>
      </c>
      <c r="S120" s="356">
        <v>0.68932500000000008</v>
      </c>
      <c r="T120" s="185">
        <v>0.05</v>
      </c>
      <c r="U120" s="186">
        <v>0.01</v>
      </c>
      <c r="W120" s="467">
        <v>0.05</v>
      </c>
      <c r="X120" s="486">
        <v>0.1</v>
      </c>
      <c r="Y120" s="389">
        <v>0.1</v>
      </c>
      <c r="AA120" s="410">
        <v>0.63157894736842102</v>
      </c>
      <c r="AB120" s="411">
        <v>0.64722222222222237</v>
      </c>
      <c r="AC120" s="412">
        <v>0.65480555555555564</v>
      </c>
      <c r="AE120" s="187">
        <v>21.05263157894737</v>
      </c>
      <c r="AF120" s="62">
        <v>21.684210526315791</v>
      </c>
      <c r="AG120" s="69">
        <v>22.768421052631581</v>
      </c>
      <c r="AH120" s="185">
        <v>0.03</v>
      </c>
      <c r="AI120" s="186">
        <v>0.05</v>
      </c>
      <c r="AK120" s="187">
        <v>25.263157894736842</v>
      </c>
      <c r="AL120" s="62">
        <v>26.02105263157895</v>
      </c>
      <c r="AM120" s="69">
        <v>27.322105263157898</v>
      </c>
      <c r="AN120" s="420">
        <v>0.03</v>
      </c>
      <c r="AO120" s="443">
        <v>0.05</v>
      </c>
      <c r="AQ120" s="187">
        <v>20</v>
      </c>
      <c r="AR120" s="64">
        <v>19.515789473684212</v>
      </c>
      <c r="AS120" s="65">
        <v>20.491578947368424</v>
      </c>
      <c r="AT120" s="178">
        <v>-2.421052631578946E-2</v>
      </c>
      <c r="AU120" s="179">
        <v>5.0000000000000044E-2</v>
      </c>
      <c r="AW120" s="188">
        <v>52.631578947368553</v>
      </c>
      <c r="AX120" s="177">
        <v>116.66666666666674</v>
      </c>
      <c r="AY120" s="177">
        <v>120.16666666666674</v>
      </c>
      <c r="BA120" s="188">
        <v>631.57894736842104</v>
      </c>
      <c r="BB120" s="177">
        <v>679.58333333333348</v>
      </c>
      <c r="BC120" s="177">
        <v>708.1722083333334</v>
      </c>
      <c r="BE120" s="223">
        <v>368.42105263157896</v>
      </c>
      <c r="BF120" s="177">
        <v>370.41666666666652</v>
      </c>
      <c r="BG120" s="177">
        <v>373.3277916666666</v>
      </c>
      <c r="BI120" s="188">
        <v>1052.6315789473686</v>
      </c>
      <c r="BJ120" s="177">
        <v>1166.6666666666667</v>
      </c>
      <c r="BK120" s="189">
        <v>1201.6666666666667</v>
      </c>
      <c r="BM120" s="454">
        <v>50</v>
      </c>
      <c r="BN120" s="177">
        <v>53.802588996763753</v>
      </c>
      <c r="BO120" s="177">
        <v>52.777777777777771</v>
      </c>
      <c r="BP120" s="178">
        <v>7.6051779935275121E-2</v>
      </c>
      <c r="BQ120" s="179">
        <v>-1.9047619047619091E-2</v>
      </c>
      <c r="BR120" s="411">
        <v>1.1025358324145534E-2</v>
      </c>
      <c r="BS120" s="411">
        <v>1.1161360906619672E-2</v>
      </c>
      <c r="BT120" s="412">
        <v>1.1085477346132314E-2</v>
      </c>
      <c r="BV120" s="454">
        <v>4</v>
      </c>
      <c r="BW120" s="473">
        <v>4</v>
      </c>
      <c r="BX120" s="180">
        <v>0</v>
      </c>
      <c r="BY120" s="454">
        <v>4</v>
      </c>
      <c r="BZ120" s="188">
        <v>1191.5423677106883</v>
      </c>
      <c r="CA120" s="180">
        <v>296.88559192767207</v>
      </c>
      <c r="CB120" s="190">
        <v>5</v>
      </c>
      <c r="CC120" s="246">
        <v>22.61904761904762</v>
      </c>
      <c r="CD120" s="430">
        <v>3.5238095238095237</v>
      </c>
      <c r="CF120" s="490">
        <v>1241.344956707452</v>
      </c>
      <c r="CG120" s="481">
        <v>45981.486104705182</v>
      </c>
      <c r="CH120" s="178">
        <v>4.3202960518675546E-2</v>
      </c>
      <c r="CI120" s="246">
        <v>70.396825396825392</v>
      </c>
      <c r="CJ120" s="189">
        <v>26281.091365740733</v>
      </c>
      <c r="CK120" s="281">
        <v>0.7</v>
      </c>
      <c r="CM120" s="240">
        <v>12.5</v>
      </c>
      <c r="CN120" s="241">
        <v>9.000532385947789E-2</v>
      </c>
      <c r="CO120" s="242">
        <v>3.8218390804597693</v>
      </c>
    </row>
    <row r="121" spans="2:95" ht="13.5" customHeight="1" outlineLevel="1" x14ac:dyDescent="0.25">
      <c r="B121" s="15"/>
      <c r="C121" s="53"/>
      <c r="D121" s="53"/>
      <c r="E121" s="24" t="s">
        <v>141</v>
      </c>
      <c r="F121" s="454">
        <v>1000</v>
      </c>
      <c r="G121" s="177">
        <v>1050</v>
      </c>
      <c r="H121" s="177">
        <v>1081.5</v>
      </c>
      <c r="I121" s="181"/>
      <c r="J121" s="182"/>
      <c r="K121" s="183">
        <v>0.05</v>
      </c>
      <c r="L121" s="184">
        <v>0.03</v>
      </c>
      <c r="M121" s="411">
        <v>6.7613252197430695E-3</v>
      </c>
      <c r="N121" s="411">
        <v>6.7840413503472783E-3</v>
      </c>
      <c r="O121" s="412">
        <v>6.7260265197617072E-3</v>
      </c>
      <c r="P121" s="29"/>
      <c r="Q121" s="461">
        <v>0.65</v>
      </c>
      <c r="R121" s="343">
        <v>0.68250000000000011</v>
      </c>
      <c r="S121" s="356">
        <v>0.68932500000000008</v>
      </c>
      <c r="T121" s="185">
        <v>0.05</v>
      </c>
      <c r="U121" s="186">
        <v>0.01</v>
      </c>
      <c r="W121" s="467">
        <v>0.05</v>
      </c>
      <c r="X121" s="486">
        <v>0.1</v>
      </c>
      <c r="Y121" s="389">
        <v>0.1</v>
      </c>
      <c r="AA121" s="410">
        <v>0.63157894736842102</v>
      </c>
      <c r="AB121" s="411">
        <v>0.64722222222222237</v>
      </c>
      <c r="AC121" s="412">
        <v>0.65480555555555564</v>
      </c>
      <c r="AE121" s="187">
        <v>21.05263157894737</v>
      </c>
      <c r="AF121" s="62">
        <v>21.684210526315791</v>
      </c>
      <c r="AG121" s="69">
        <v>22.768421052631581</v>
      </c>
      <c r="AH121" s="185">
        <v>0.03</v>
      </c>
      <c r="AI121" s="186">
        <v>0.05</v>
      </c>
      <c r="AK121" s="187">
        <v>25.263157894736842</v>
      </c>
      <c r="AL121" s="62">
        <v>26.02105263157895</v>
      </c>
      <c r="AM121" s="69">
        <v>27.322105263157898</v>
      </c>
      <c r="AN121" s="420">
        <v>0.03</v>
      </c>
      <c r="AO121" s="443">
        <v>0.05</v>
      </c>
      <c r="AQ121" s="187">
        <v>20</v>
      </c>
      <c r="AR121" s="64">
        <v>19.515789473684212</v>
      </c>
      <c r="AS121" s="65">
        <v>20.491578947368424</v>
      </c>
      <c r="AT121" s="178">
        <v>-2.421052631578946E-2</v>
      </c>
      <c r="AU121" s="179">
        <v>5.0000000000000044E-2</v>
      </c>
      <c r="AW121" s="188">
        <v>52.631578947368553</v>
      </c>
      <c r="AX121" s="177">
        <v>116.66666666666674</v>
      </c>
      <c r="AY121" s="177">
        <v>120.16666666666674</v>
      </c>
      <c r="BA121" s="188">
        <v>631.57894736842104</v>
      </c>
      <c r="BB121" s="177">
        <v>679.58333333333348</v>
      </c>
      <c r="BC121" s="177">
        <v>708.1722083333334</v>
      </c>
      <c r="BE121" s="223">
        <v>368.42105263157896</v>
      </c>
      <c r="BF121" s="177">
        <v>370.41666666666652</v>
      </c>
      <c r="BG121" s="177">
        <v>373.3277916666666</v>
      </c>
      <c r="BI121" s="188">
        <v>1052.6315789473686</v>
      </c>
      <c r="BJ121" s="177">
        <v>1166.6666666666667</v>
      </c>
      <c r="BK121" s="189">
        <v>1201.6666666666667</v>
      </c>
      <c r="BM121" s="454">
        <v>50</v>
      </c>
      <c r="BN121" s="177">
        <v>53.802588996763753</v>
      </c>
      <c r="BO121" s="177">
        <v>52.777777777777771</v>
      </c>
      <c r="BP121" s="178">
        <v>7.6051779935275121E-2</v>
      </c>
      <c r="BQ121" s="179">
        <v>-1.9047619047619091E-2</v>
      </c>
      <c r="BR121" s="411">
        <v>1.1025358324145534E-2</v>
      </c>
      <c r="BS121" s="411">
        <v>1.1161360906619672E-2</v>
      </c>
      <c r="BT121" s="412">
        <v>1.1085477346132314E-2</v>
      </c>
      <c r="BV121" s="454">
        <v>4</v>
      </c>
      <c r="BW121" s="473">
        <v>4</v>
      </c>
      <c r="BX121" s="180">
        <v>0</v>
      </c>
      <c r="BY121" s="454">
        <v>4</v>
      </c>
      <c r="BZ121" s="188">
        <v>1191.5423677106883</v>
      </c>
      <c r="CA121" s="180">
        <v>296.88559192767207</v>
      </c>
      <c r="CB121" s="190">
        <v>5</v>
      </c>
      <c r="CC121" s="246">
        <v>22.61904761904762</v>
      </c>
      <c r="CD121" s="430">
        <v>3.5238095238095237</v>
      </c>
      <c r="CF121" s="490">
        <v>1241.344956707452</v>
      </c>
      <c r="CG121" s="481">
        <v>45981.486104705182</v>
      </c>
      <c r="CH121" s="178">
        <v>4.3202960518675546E-2</v>
      </c>
      <c r="CI121" s="246">
        <v>70.396825396825392</v>
      </c>
      <c r="CJ121" s="189">
        <v>26281.091365740733</v>
      </c>
      <c r="CK121" s="281">
        <v>0.7</v>
      </c>
      <c r="CM121" s="240">
        <v>12.5</v>
      </c>
      <c r="CN121" s="241">
        <v>9.000532385947789E-2</v>
      </c>
      <c r="CO121" s="242">
        <v>3.8218390804597693</v>
      </c>
    </row>
    <row r="122" spans="2:95" ht="13.5" customHeight="1" outlineLevel="1" x14ac:dyDescent="0.25">
      <c r="B122" s="15"/>
      <c r="C122" s="73"/>
      <c r="D122" s="73"/>
      <c r="E122" s="24" t="s">
        <v>142</v>
      </c>
      <c r="F122" s="455">
        <v>1000</v>
      </c>
      <c r="G122" s="177">
        <v>1050</v>
      </c>
      <c r="H122" s="177">
        <v>1081.5</v>
      </c>
      <c r="I122" s="195"/>
      <c r="J122" s="182"/>
      <c r="K122" s="183">
        <v>0.05</v>
      </c>
      <c r="L122" s="196">
        <v>0.03</v>
      </c>
      <c r="M122" s="422">
        <v>6.7613252197430695E-3</v>
      </c>
      <c r="N122" s="422">
        <v>6.7840413503472783E-3</v>
      </c>
      <c r="O122" s="425">
        <v>6.7260265197617072E-3</v>
      </c>
      <c r="P122" s="29"/>
      <c r="Q122" s="461">
        <v>0.65</v>
      </c>
      <c r="R122" s="343">
        <v>0.68250000000000011</v>
      </c>
      <c r="S122" s="356">
        <v>0.68932500000000008</v>
      </c>
      <c r="T122" s="185">
        <v>0.05</v>
      </c>
      <c r="U122" s="186">
        <v>0.01</v>
      </c>
      <c r="W122" s="467">
        <v>0.05</v>
      </c>
      <c r="X122" s="486">
        <v>0.1</v>
      </c>
      <c r="Y122" s="389">
        <v>0.1</v>
      </c>
      <c r="AA122" s="410">
        <v>0.63157894736842102</v>
      </c>
      <c r="AB122" s="411">
        <v>0.64722222222222237</v>
      </c>
      <c r="AC122" s="412">
        <v>0.65480555555555564</v>
      </c>
      <c r="AE122" s="187">
        <v>21.05263157894737</v>
      </c>
      <c r="AF122" s="62">
        <v>21.684210526315791</v>
      </c>
      <c r="AG122" s="69">
        <v>22.768421052631581</v>
      </c>
      <c r="AH122" s="185">
        <v>0.03</v>
      </c>
      <c r="AI122" s="186">
        <v>0.05</v>
      </c>
      <c r="AK122" s="187">
        <v>25.263157894736842</v>
      </c>
      <c r="AL122" s="62">
        <v>26.02105263157895</v>
      </c>
      <c r="AM122" s="69">
        <v>27.322105263157898</v>
      </c>
      <c r="AN122" s="420">
        <v>0.03</v>
      </c>
      <c r="AO122" s="443">
        <v>0.05</v>
      </c>
      <c r="AQ122" s="187">
        <v>20</v>
      </c>
      <c r="AR122" s="64">
        <v>19.515789473684212</v>
      </c>
      <c r="AS122" s="65">
        <v>20.491578947368424</v>
      </c>
      <c r="AT122" s="193">
        <v>-2.421052631578946E-2</v>
      </c>
      <c r="AU122" s="194">
        <v>5.0000000000000044E-2</v>
      </c>
      <c r="AW122" s="197">
        <v>52.631578947368553</v>
      </c>
      <c r="AX122" s="177">
        <v>116.66666666666674</v>
      </c>
      <c r="AY122" s="177">
        <v>120.16666666666674</v>
      </c>
      <c r="BA122" s="197">
        <v>631.57894736842104</v>
      </c>
      <c r="BB122" s="177">
        <v>679.58333333333348</v>
      </c>
      <c r="BC122" s="177">
        <v>708.1722083333334</v>
      </c>
      <c r="BE122" s="224">
        <v>368.42105263157896</v>
      </c>
      <c r="BF122" s="192">
        <v>370.41666666666652</v>
      </c>
      <c r="BG122" s="192">
        <v>373.3277916666666</v>
      </c>
      <c r="BI122" s="188">
        <v>1052.6315789473686</v>
      </c>
      <c r="BJ122" s="177">
        <v>1166.6666666666667</v>
      </c>
      <c r="BK122" s="189">
        <v>1201.6666666666667</v>
      </c>
      <c r="BM122" s="455">
        <v>50</v>
      </c>
      <c r="BN122" s="192">
        <v>53.802588996763753</v>
      </c>
      <c r="BO122" s="192">
        <v>52.777777777777771</v>
      </c>
      <c r="BP122" s="193">
        <v>7.6051779935275121E-2</v>
      </c>
      <c r="BQ122" s="194">
        <v>-1.9047619047619091E-2</v>
      </c>
      <c r="BR122" s="422">
        <v>1.1025358324145534E-2</v>
      </c>
      <c r="BS122" s="422">
        <v>1.1161360906619672E-2</v>
      </c>
      <c r="BT122" s="425">
        <v>1.1085477346132314E-2</v>
      </c>
      <c r="BV122" s="455">
        <v>4</v>
      </c>
      <c r="BW122" s="473">
        <v>4</v>
      </c>
      <c r="BX122" s="180">
        <v>0</v>
      </c>
      <c r="BY122" s="455">
        <v>4</v>
      </c>
      <c r="BZ122" s="188">
        <v>1191.5423677106883</v>
      </c>
      <c r="CA122" s="180">
        <v>296.88559192767207</v>
      </c>
      <c r="CB122" s="190">
        <v>5</v>
      </c>
      <c r="CC122" s="246">
        <v>22.61904761904762</v>
      </c>
      <c r="CD122" s="430">
        <v>3.5238095238095237</v>
      </c>
      <c r="CF122" s="490">
        <v>1241.344956707452</v>
      </c>
      <c r="CG122" s="481">
        <v>45981.486104705182</v>
      </c>
      <c r="CH122" s="178">
        <v>4.3202960518675546E-2</v>
      </c>
      <c r="CI122" s="246">
        <v>70.396825396825392</v>
      </c>
      <c r="CJ122" s="189">
        <v>26281.091365740733</v>
      </c>
      <c r="CK122" s="281">
        <v>0.7</v>
      </c>
      <c r="CM122" s="240">
        <v>12.5</v>
      </c>
      <c r="CN122" s="241">
        <v>9.000532385947789E-2</v>
      </c>
      <c r="CO122" s="242">
        <v>3.8218390804597693</v>
      </c>
    </row>
    <row r="123" spans="2:95" ht="13.5" customHeight="1" x14ac:dyDescent="0.25">
      <c r="B123" s="540" t="s">
        <v>78</v>
      </c>
      <c r="C123" s="540"/>
      <c r="D123" s="540"/>
      <c r="E123" s="540"/>
      <c r="F123" s="88">
        <v>5000</v>
      </c>
      <c r="G123" s="89">
        <v>5250</v>
      </c>
      <c r="H123" s="90">
        <v>5407.5</v>
      </c>
      <c r="I123" s="90"/>
      <c r="J123" s="103"/>
      <c r="K123" s="91">
        <v>5.0000000000000044E-2</v>
      </c>
      <c r="L123" s="103">
        <v>3.0000000000000027E-2</v>
      </c>
      <c r="M123" s="367">
        <v>3.3806626098715348E-2</v>
      </c>
      <c r="N123" s="367">
        <v>3.392020675173639E-2</v>
      </c>
      <c r="O123" s="94">
        <v>3.3630132598808538E-2</v>
      </c>
      <c r="P123" s="29"/>
      <c r="Q123" s="345">
        <v>0.68157894736842106</v>
      </c>
      <c r="R123" s="346">
        <v>0.74722222222222245</v>
      </c>
      <c r="S123" s="349">
        <v>0.75480555555555573</v>
      </c>
      <c r="T123" s="93">
        <v>9.6310596310596575E-2</v>
      </c>
      <c r="U123" s="92">
        <v>1.0148698884758334E-2</v>
      </c>
      <c r="V123" s="13"/>
      <c r="W123" s="375">
        <v>5.0000000000000079E-2</v>
      </c>
      <c r="X123" s="376">
        <v>0.10000000000000009</v>
      </c>
      <c r="Y123" s="377">
        <v>0.10000000000000009</v>
      </c>
      <c r="AA123" s="366">
        <v>0.63157894736842102</v>
      </c>
      <c r="AB123" s="367">
        <v>0.64722222222222237</v>
      </c>
      <c r="AC123" s="94">
        <v>0.65480555555555564</v>
      </c>
      <c r="AE123" s="95">
        <v>20</v>
      </c>
      <c r="AF123" s="96">
        <v>20.6</v>
      </c>
      <c r="AG123" s="99">
        <v>21.630000000000003</v>
      </c>
      <c r="AH123" s="93">
        <v>0.03</v>
      </c>
      <c r="AI123" s="92">
        <v>0.05</v>
      </c>
      <c r="AK123" s="95">
        <v>24</v>
      </c>
      <c r="AL123" s="96">
        <v>24.720000000000002</v>
      </c>
      <c r="AM123" s="99">
        <v>25.956000000000003</v>
      </c>
      <c r="AN123" s="93">
        <v>0.03</v>
      </c>
      <c r="AO123" s="92">
        <v>0.05</v>
      </c>
      <c r="AQ123" s="95">
        <v>20</v>
      </c>
      <c r="AR123" s="96">
        <v>19.515789473684208</v>
      </c>
      <c r="AS123" s="99">
        <v>20.491578947368424</v>
      </c>
      <c r="AT123" s="91">
        <v>-2.4210526315789571E-2</v>
      </c>
      <c r="AU123" s="92">
        <v>5.0000000000000266E-2</v>
      </c>
      <c r="AW123" s="88">
        <v>263.15789473684276</v>
      </c>
      <c r="AX123" s="89">
        <v>583.33333333333371</v>
      </c>
      <c r="AY123" s="90">
        <v>600.83333333333371</v>
      </c>
      <c r="BA123" s="88">
        <v>3157.894736842105</v>
      </c>
      <c r="BB123" s="89">
        <v>3397.9166666666674</v>
      </c>
      <c r="BC123" s="90">
        <v>3540.861041666667</v>
      </c>
      <c r="BE123" s="88">
        <v>1842.1052631578948</v>
      </c>
      <c r="BF123" s="89">
        <v>1852.0833333333326</v>
      </c>
      <c r="BG123" s="89">
        <v>1866.638958333333</v>
      </c>
      <c r="BI123" s="100">
        <v>5263.1578947368425</v>
      </c>
      <c r="BJ123" s="101">
        <v>5833.3333333333339</v>
      </c>
      <c r="BK123" s="102">
        <v>6008.3333333333339</v>
      </c>
      <c r="BM123" s="88">
        <v>250</v>
      </c>
      <c r="BN123" s="89">
        <v>269.01294498381878</v>
      </c>
      <c r="BO123" s="89">
        <v>263.88888888888886</v>
      </c>
      <c r="BP123" s="91">
        <v>7.6051779935275121E-2</v>
      </c>
      <c r="BQ123" s="92">
        <v>-1.9047619047619202E-2</v>
      </c>
      <c r="BR123" s="367">
        <v>5.5126791620727672E-2</v>
      </c>
      <c r="BS123" s="367">
        <v>5.5806804533098366E-2</v>
      </c>
      <c r="BT123" s="94">
        <v>5.5427386730661561E-2</v>
      </c>
      <c r="BV123" s="88">
        <v>20</v>
      </c>
      <c r="BW123" s="285">
        <v>20</v>
      </c>
      <c r="BX123" s="92">
        <v>0</v>
      </c>
      <c r="BY123" s="88">
        <v>20</v>
      </c>
      <c r="BZ123" s="285">
        <v>5957.7118385534413</v>
      </c>
      <c r="CA123" s="92">
        <v>296.88559192767207</v>
      </c>
      <c r="CB123" s="285">
        <v>25</v>
      </c>
      <c r="CC123" s="282">
        <v>113.0952380952381</v>
      </c>
      <c r="CD123" s="103">
        <v>3.5238095238095237</v>
      </c>
      <c r="CF123" s="115">
        <v>6206.72478353726</v>
      </c>
      <c r="CG123" s="102">
        <v>229907.43052352592</v>
      </c>
      <c r="CH123" s="252">
        <v>4.3202960518675546E-2</v>
      </c>
      <c r="CI123" s="115">
        <v>351.98412698412699</v>
      </c>
      <c r="CJ123" s="102">
        <v>131405.45682870367</v>
      </c>
      <c r="CK123" s="308">
        <v>0.7</v>
      </c>
      <c r="CM123" s="290">
        <v>12.5</v>
      </c>
      <c r="CN123" s="291">
        <v>9.0005323859477904E-2</v>
      </c>
      <c r="CO123" s="292">
        <v>3.8218390804597693</v>
      </c>
    </row>
    <row r="124" spans="2:95" ht="13.5" customHeight="1" outlineLevel="1" x14ac:dyDescent="0.25">
      <c r="B124" s="160" t="s">
        <v>76</v>
      </c>
      <c r="C124" s="23" t="s">
        <v>77</v>
      </c>
      <c r="D124" s="23" t="s">
        <v>31</v>
      </c>
      <c r="E124" s="198" t="s">
        <v>138</v>
      </c>
      <c r="F124" s="454">
        <v>1000</v>
      </c>
      <c r="G124" s="177">
        <v>1050</v>
      </c>
      <c r="H124" s="177">
        <v>1081.5</v>
      </c>
      <c r="I124" s="166"/>
      <c r="J124" s="182"/>
      <c r="K124" s="183">
        <v>0.05</v>
      </c>
      <c r="L124" s="184">
        <v>0.03</v>
      </c>
      <c r="M124" s="411">
        <v>6.7613252197430695E-3</v>
      </c>
      <c r="N124" s="411">
        <v>6.7840413503472783E-3</v>
      </c>
      <c r="O124" s="412">
        <v>6.7260265197617072E-3</v>
      </c>
      <c r="P124" s="29"/>
      <c r="Q124" s="461">
        <v>0.65</v>
      </c>
      <c r="R124" s="343">
        <v>0.68250000000000011</v>
      </c>
      <c r="S124" s="356">
        <v>0.68932500000000008</v>
      </c>
      <c r="T124" s="185">
        <v>0.05</v>
      </c>
      <c r="U124" s="186">
        <v>0.01</v>
      </c>
      <c r="V124" s="29"/>
      <c r="W124" s="467">
        <v>0.05</v>
      </c>
      <c r="X124" s="486">
        <v>0.1</v>
      </c>
      <c r="Y124" s="389">
        <v>0.1</v>
      </c>
      <c r="AA124" s="410">
        <v>0.63157894736842102</v>
      </c>
      <c r="AB124" s="411">
        <v>0.64722222222222237</v>
      </c>
      <c r="AC124" s="412">
        <v>0.65480555555555564</v>
      </c>
      <c r="AE124" s="187">
        <v>21.05263157894737</v>
      </c>
      <c r="AF124" s="62">
        <v>21.684210526315791</v>
      </c>
      <c r="AG124" s="69">
        <v>22.768421052631581</v>
      </c>
      <c r="AH124" s="185">
        <v>0.03</v>
      </c>
      <c r="AI124" s="186">
        <v>0.05</v>
      </c>
      <c r="AK124" s="187">
        <v>25.263157894736842</v>
      </c>
      <c r="AL124" s="62">
        <v>26.02105263157895</v>
      </c>
      <c r="AM124" s="69">
        <v>27.322105263157898</v>
      </c>
      <c r="AN124" s="420">
        <v>0.03</v>
      </c>
      <c r="AO124" s="443">
        <v>0.05</v>
      </c>
      <c r="AQ124" s="187">
        <v>20</v>
      </c>
      <c r="AR124" s="64">
        <v>19.515789473684212</v>
      </c>
      <c r="AS124" s="65">
        <v>20.491578947368424</v>
      </c>
      <c r="AT124" s="178">
        <v>-2.421052631578946E-2</v>
      </c>
      <c r="AU124" s="179">
        <v>5.0000000000000044E-2</v>
      </c>
      <c r="AW124" s="188">
        <v>52.631578947368553</v>
      </c>
      <c r="AX124" s="177">
        <v>116.66666666666674</v>
      </c>
      <c r="AY124" s="177">
        <v>120.16666666666674</v>
      </c>
      <c r="BA124" s="188">
        <v>631.57894736842104</v>
      </c>
      <c r="BB124" s="177">
        <v>679.58333333333348</v>
      </c>
      <c r="BC124" s="177">
        <v>708.1722083333334</v>
      </c>
      <c r="BE124" s="223">
        <v>368.42105263157896</v>
      </c>
      <c r="BF124" s="177">
        <v>370.41666666666652</v>
      </c>
      <c r="BG124" s="177">
        <v>373.3277916666666</v>
      </c>
      <c r="BI124" s="188">
        <v>1052.6315789473686</v>
      </c>
      <c r="BJ124" s="177">
        <v>1166.6666666666667</v>
      </c>
      <c r="BK124" s="189">
        <v>1201.6666666666667</v>
      </c>
      <c r="BM124" s="454">
        <v>50</v>
      </c>
      <c r="BN124" s="177">
        <v>53.802588996763753</v>
      </c>
      <c r="BO124" s="177">
        <v>52.777777777777771</v>
      </c>
      <c r="BP124" s="178">
        <v>7.6051779935275121E-2</v>
      </c>
      <c r="BQ124" s="179">
        <v>-1.9047619047619091E-2</v>
      </c>
      <c r="BR124" s="411">
        <v>1.1025358324145534E-2</v>
      </c>
      <c r="BS124" s="411">
        <v>1.1161360906619672E-2</v>
      </c>
      <c r="BT124" s="412">
        <v>1.1085477346132314E-2</v>
      </c>
      <c r="BV124" s="454">
        <v>4</v>
      </c>
      <c r="BW124" s="473">
        <v>4</v>
      </c>
      <c r="BX124" s="180">
        <v>0</v>
      </c>
      <c r="BY124" s="454">
        <v>4</v>
      </c>
      <c r="BZ124" s="188">
        <v>1191.5423677106883</v>
      </c>
      <c r="CA124" s="180">
        <v>296.88559192767207</v>
      </c>
      <c r="CB124" s="190">
        <v>5</v>
      </c>
      <c r="CC124" s="246">
        <v>22.61904761904762</v>
      </c>
      <c r="CD124" s="430">
        <v>3.5238095238095237</v>
      </c>
      <c r="CF124" s="490">
        <v>1241.344956707452</v>
      </c>
      <c r="CG124" s="481">
        <v>45981.486104705182</v>
      </c>
      <c r="CH124" s="178">
        <v>4.3202960518675546E-2</v>
      </c>
      <c r="CI124" s="246">
        <v>70.396825396825392</v>
      </c>
      <c r="CJ124" s="189">
        <v>26281.091365740733</v>
      </c>
      <c r="CK124" s="281">
        <v>0.7</v>
      </c>
      <c r="CM124" s="240">
        <v>12.5</v>
      </c>
      <c r="CN124" s="241">
        <v>9.000532385947789E-2</v>
      </c>
      <c r="CO124" s="242">
        <v>3.8218390804597693</v>
      </c>
    </row>
    <row r="125" spans="2:95" ht="13.5" customHeight="1" outlineLevel="1" x14ac:dyDescent="0.25">
      <c r="B125" s="15"/>
      <c r="C125" s="53"/>
      <c r="D125" s="53"/>
      <c r="E125" s="198" t="s">
        <v>139</v>
      </c>
      <c r="F125" s="454">
        <v>1000</v>
      </c>
      <c r="G125" s="177">
        <v>1050</v>
      </c>
      <c r="H125" s="177">
        <v>1081.5</v>
      </c>
      <c r="I125" s="181"/>
      <c r="J125" s="182"/>
      <c r="K125" s="183">
        <v>0.05</v>
      </c>
      <c r="L125" s="184">
        <v>0.03</v>
      </c>
      <c r="M125" s="411">
        <v>6.7613252197430695E-3</v>
      </c>
      <c r="N125" s="411">
        <v>6.7840413503472783E-3</v>
      </c>
      <c r="O125" s="412">
        <v>6.7260265197617072E-3</v>
      </c>
      <c r="P125" s="29"/>
      <c r="Q125" s="461">
        <v>0.65</v>
      </c>
      <c r="R125" s="343">
        <v>0.68250000000000011</v>
      </c>
      <c r="S125" s="356">
        <v>0.68932500000000008</v>
      </c>
      <c r="T125" s="185">
        <v>0.05</v>
      </c>
      <c r="U125" s="186">
        <v>0.01</v>
      </c>
      <c r="W125" s="467">
        <v>0.05</v>
      </c>
      <c r="X125" s="486">
        <v>0.1</v>
      </c>
      <c r="Y125" s="389">
        <v>0.1</v>
      </c>
      <c r="AA125" s="410">
        <v>0.63157894736842102</v>
      </c>
      <c r="AB125" s="411">
        <v>0.64722222222222237</v>
      </c>
      <c r="AC125" s="412">
        <v>0.65480555555555564</v>
      </c>
      <c r="AE125" s="187">
        <v>21.05263157894737</v>
      </c>
      <c r="AF125" s="62">
        <v>21.684210526315791</v>
      </c>
      <c r="AG125" s="69">
        <v>22.768421052631581</v>
      </c>
      <c r="AH125" s="185">
        <v>0.03</v>
      </c>
      <c r="AI125" s="186">
        <v>0.05</v>
      </c>
      <c r="AK125" s="187">
        <v>25.263157894736842</v>
      </c>
      <c r="AL125" s="62">
        <v>26.02105263157895</v>
      </c>
      <c r="AM125" s="69">
        <v>27.322105263157898</v>
      </c>
      <c r="AN125" s="420">
        <v>0.03</v>
      </c>
      <c r="AO125" s="443">
        <v>0.05</v>
      </c>
      <c r="AQ125" s="187">
        <v>20</v>
      </c>
      <c r="AR125" s="64">
        <v>19.515789473684212</v>
      </c>
      <c r="AS125" s="65">
        <v>20.491578947368424</v>
      </c>
      <c r="AT125" s="178">
        <v>-2.421052631578946E-2</v>
      </c>
      <c r="AU125" s="179">
        <v>5.0000000000000044E-2</v>
      </c>
      <c r="AW125" s="188">
        <v>52.631578947368553</v>
      </c>
      <c r="AX125" s="177">
        <v>116.66666666666674</v>
      </c>
      <c r="AY125" s="177">
        <v>120.16666666666674</v>
      </c>
      <c r="BA125" s="188">
        <v>631.57894736842104</v>
      </c>
      <c r="BB125" s="177">
        <v>679.58333333333348</v>
      </c>
      <c r="BC125" s="177">
        <v>708.1722083333334</v>
      </c>
      <c r="BE125" s="223">
        <v>368.42105263157896</v>
      </c>
      <c r="BF125" s="177">
        <v>370.41666666666652</v>
      </c>
      <c r="BG125" s="177">
        <v>373.3277916666666</v>
      </c>
      <c r="BI125" s="188">
        <v>1052.6315789473686</v>
      </c>
      <c r="BJ125" s="177">
        <v>1166.6666666666667</v>
      </c>
      <c r="BK125" s="189">
        <v>1201.6666666666667</v>
      </c>
      <c r="BM125" s="454">
        <v>50</v>
      </c>
      <c r="BN125" s="177">
        <v>53.802588996763753</v>
      </c>
      <c r="BO125" s="177">
        <v>52.777777777777771</v>
      </c>
      <c r="BP125" s="178">
        <v>7.6051779935275121E-2</v>
      </c>
      <c r="BQ125" s="179">
        <v>-1.9047619047619091E-2</v>
      </c>
      <c r="BR125" s="411">
        <v>1.1025358324145534E-2</v>
      </c>
      <c r="BS125" s="411">
        <v>1.1161360906619672E-2</v>
      </c>
      <c r="BT125" s="412">
        <v>1.1085477346132314E-2</v>
      </c>
      <c r="BV125" s="454">
        <v>4</v>
      </c>
      <c r="BW125" s="473">
        <v>4</v>
      </c>
      <c r="BX125" s="180">
        <v>0</v>
      </c>
      <c r="BY125" s="454">
        <v>4</v>
      </c>
      <c r="BZ125" s="188">
        <v>1191.5423677106883</v>
      </c>
      <c r="CA125" s="180">
        <v>296.88559192767207</v>
      </c>
      <c r="CB125" s="190">
        <v>5</v>
      </c>
      <c r="CC125" s="246">
        <v>22.61904761904762</v>
      </c>
      <c r="CD125" s="430">
        <v>3.5238095238095237</v>
      </c>
      <c r="CF125" s="490">
        <v>1241.344956707452</v>
      </c>
      <c r="CG125" s="481">
        <v>45981.486104705182</v>
      </c>
      <c r="CH125" s="178">
        <v>4.3202960518675546E-2</v>
      </c>
      <c r="CI125" s="246">
        <v>70.396825396825392</v>
      </c>
      <c r="CJ125" s="189">
        <v>26281.091365740733</v>
      </c>
      <c r="CK125" s="281">
        <v>0.7</v>
      </c>
      <c r="CM125" s="240">
        <v>12.5</v>
      </c>
      <c r="CN125" s="241">
        <v>9.000532385947789E-2</v>
      </c>
      <c r="CO125" s="242">
        <v>3.8218390804597693</v>
      </c>
    </row>
    <row r="126" spans="2:95" outlineLevel="1" x14ac:dyDescent="0.25">
      <c r="B126" s="15"/>
      <c r="C126" s="53"/>
      <c r="D126" s="53"/>
      <c r="E126" s="198" t="s">
        <v>140</v>
      </c>
      <c r="F126" s="454">
        <v>1000</v>
      </c>
      <c r="G126" s="177">
        <v>1050</v>
      </c>
      <c r="H126" s="177">
        <v>1081.5</v>
      </c>
      <c r="I126" s="181"/>
      <c r="J126" s="182"/>
      <c r="K126" s="183">
        <v>0.05</v>
      </c>
      <c r="L126" s="184">
        <v>0.03</v>
      </c>
      <c r="M126" s="411">
        <v>6.7613252197430695E-3</v>
      </c>
      <c r="N126" s="411">
        <v>6.7840413503472783E-3</v>
      </c>
      <c r="O126" s="412">
        <v>6.7260265197617072E-3</v>
      </c>
      <c r="P126" s="29"/>
      <c r="Q126" s="461">
        <v>0.65</v>
      </c>
      <c r="R126" s="343">
        <v>0.68250000000000011</v>
      </c>
      <c r="S126" s="356">
        <v>0.68932500000000008</v>
      </c>
      <c r="T126" s="185">
        <v>0.05</v>
      </c>
      <c r="U126" s="186">
        <v>0.01</v>
      </c>
      <c r="W126" s="467">
        <v>0.05</v>
      </c>
      <c r="X126" s="486">
        <v>0.1</v>
      </c>
      <c r="Y126" s="389">
        <v>0.1</v>
      </c>
      <c r="AA126" s="410">
        <v>0.63157894736842102</v>
      </c>
      <c r="AB126" s="411">
        <v>0.64722222222222237</v>
      </c>
      <c r="AC126" s="412">
        <v>0.65480555555555564</v>
      </c>
      <c r="AE126" s="187">
        <v>21.05263157894737</v>
      </c>
      <c r="AF126" s="62">
        <v>21.684210526315791</v>
      </c>
      <c r="AG126" s="69">
        <v>22.768421052631581</v>
      </c>
      <c r="AH126" s="185">
        <v>0.03</v>
      </c>
      <c r="AI126" s="186">
        <v>0.05</v>
      </c>
      <c r="AK126" s="187">
        <v>25.263157894736842</v>
      </c>
      <c r="AL126" s="62">
        <v>26.02105263157895</v>
      </c>
      <c r="AM126" s="69">
        <v>27.322105263157898</v>
      </c>
      <c r="AN126" s="420">
        <v>0.03</v>
      </c>
      <c r="AO126" s="443">
        <v>0.05</v>
      </c>
      <c r="AQ126" s="187">
        <v>20</v>
      </c>
      <c r="AR126" s="64">
        <v>19.515789473684212</v>
      </c>
      <c r="AS126" s="65">
        <v>20.491578947368424</v>
      </c>
      <c r="AT126" s="178">
        <v>-2.421052631578946E-2</v>
      </c>
      <c r="AU126" s="179">
        <v>5.0000000000000044E-2</v>
      </c>
      <c r="AW126" s="188">
        <v>52.631578947368553</v>
      </c>
      <c r="AX126" s="177">
        <v>116.66666666666674</v>
      </c>
      <c r="AY126" s="177">
        <v>120.16666666666674</v>
      </c>
      <c r="BA126" s="188">
        <v>631.57894736842104</v>
      </c>
      <c r="BB126" s="177">
        <v>679.58333333333348</v>
      </c>
      <c r="BC126" s="177">
        <v>708.1722083333334</v>
      </c>
      <c r="BE126" s="223">
        <v>368.42105263157896</v>
      </c>
      <c r="BF126" s="177">
        <v>370.41666666666652</v>
      </c>
      <c r="BG126" s="177">
        <v>373.3277916666666</v>
      </c>
      <c r="BI126" s="188">
        <v>1052.6315789473686</v>
      </c>
      <c r="BJ126" s="177">
        <v>1166.6666666666667</v>
      </c>
      <c r="BK126" s="189">
        <v>1201.6666666666667</v>
      </c>
      <c r="BM126" s="454">
        <v>50</v>
      </c>
      <c r="BN126" s="177">
        <v>53.802588996763753</v>
      </c>
      <c r="BO126" s="177">
        <v>52.777777777777771</v>
      </c>
      <c r="BP126" s="178">
        <v>7.6051779935275121E-2</v>
      </c>
      <c r="BQ126" s="179">
        <v>-1.9047619047619091E-2</v>
      </c>
      <c r="BR126" s="411">
        <v>1.1025358324145534E-2</v>
      </c>
      <c r="BS126" s="411">
        <v>1.1161360906619672E-2</v>
      </c>
      <c r="BT126" s="412">
        <v>1.1085477346132314E-2</v>
      </c>
      <c r="BV126" s="454">
        <v>4</v>
      </c>
      <c r="BW126" s="473">
        <v>4</v>
      </c>
      <c r="BX126" s="180">
        <v>0</v>
      </c>
      <c r="BY126" s="454">
        <v>4</v>
      </c>
      <c r="BZ126" s="188">
        <v>1191.5423677106883</v>
      </c>
      <c r="CA126" s="180">
        <v>296.88559192767207</v>
      </c>
      <c r="CB126" s="190">
        <v>5</v>
      </c>
      <c r="CC126" s="246">
        <v>22.61904761904762</v>
      </c>
      <c r="CD126" s="430">
        <v>3.5238095238095237</v>
      </c>
      <c r="CF126" s="490">
        <v>1241.344956707452</v>
      </c>
      <c r="CG126" s="481">
        <v>45981.486104705182</v>
      </c>
      <c r="CH126" s="178">
        <v>4.3202960518675546E-2</v>
      </c>
      <c r="CI126" s="246">
        <v>70.396825396825392</v>
      </c>
      <c r="CJ126" s="189">
        <v>26281.091365740733</v>
      </c>
      <c r="CK126" s="281">
        <v>0.7</v>
      </c>
      <c r="CM126" s="240">
        <v>12.5</v>
      </c>
      <c r="CN126" s="241">
        <v>9.000532385947789E-2</v>
      </c>
      <c r="CO126" s="242">
        <v>3.8218390804597693</v>
      </c>
    </row>
    <row r="127" spans="2:95" outlineLevel="1" x14ac:dyDescent="0.25">
      <c r="B127" s="15"/>
      <c r="C127" s="53"/>
      <c r="D127" s="53"/>
      <c r="E127" s="198" t="s">
        <v>141</v>
      </c>
      <c r="F127" s="454">
        <v>1000</v>
      </c>
      <c r="G127" s="177">
        <v>1050</v>
      </c>
      <c r="H127" s="177">
        <v>1081.5</v>
      </c>
      <c r="I127" s="181"/>
      <c r="J127" s="182"/>
      <c r="K127" s="183">
        <v>0.05</v>
      </c>
      <c r="L127" s="184">
        <v>0.03</v>
      </c>
      <c r="M127" s="411">
        <v>6.7613252197430695E-3</v>
      </c>
      <c r="N127" s="411">
        <v>6.7840413503472783E-3</v>
      </c>
      <c r="O127" s="412">
        <v>6.7260265197617072E-3</v>
      </c>
      <c r="P127" s="29"/>
      <c r="Q127" s="461">
        <v>0.65</v>
      </c>
      <c r="R127" s="343">
        <v>0.68250000000000011</v>
      </c>
      <c r="S127" s="356">
        <v>0.68932500000000008</v>
      </c>
      <c r="T127" s="185">
        <v>0.05</v>
      </c>
      <c r="U127" s="186">
        <v>0.01</v>
      </c>
      <c r="W127" s="467">
        <v>0.05</v>
      </c>
      <c r="X127" s="486">
        <v>0.1</v>
      </c>
      <c r="Y127" s="389">
        <v>0.1</v>
      </c>
      <c r="Z127" s="19"/>
      <c r="AA127" s="410">
        <v>0.63157894736842102</v>
      </c>
      <c r="AB127" s="411">
        <v>0.64722222222222237</v>
      </c>
      <c r="AC127" s="412">
        <v>0.65480555555555564</v>
      </c>
      <c r="AD127" s="19"/>
      <c r="AE127" s="187">
        <v>21.05263157894737</v>
      </c>
      <c r="AF127" s="62">
        <v>21.684210526315791</v>
      </c>
      <c r="AG127" s="69">
        <v>22.768421052631581</v>
      </c>
      <c r="AH127" s="185">
        <v>0.03</v>
      </c>
      <c r="AI127" s="186">
        <v>0.05</v>
      </c>
      <c r="AJ127" s="19"/>
      <c r="AK127" s="187">
        <v>25.263157894736842</v>
      </c>
      <c r="AL127" s="62">
        <v>26.02105263157895</v>
      </c>
      <c r="AM127" s="69">
        <v>27.322105263157898</v>
      </c>
      <c r="AN127" s="420">
        <v>0.03</v>
      </c>
      <c r="AO127" s="443">
        <v>0.05</v>
      </c>
      <c r="AQ127" s="187">
        <v>20</v>
      </c>
      <c r="AR127" s="64">
        <v>19.515789473684212</v>
      </c>
      <c r="AS127" s="65">
        <v>20.491578947368424</v>
      </c>
      <c r="AT127" s="178">
        <v>-2.421052631578946E-2</v>
      </c>
      <c r="AU127" s="179">
        <v>5.0000000000000044E-2</v>
      </c>
      <c r="AV127" s="19"/>
      <c r="AW127" s="188">
        <v>52.631578947368553</v>
      </c>
      <c r="AX127" s="177">
        <v>116.66666666666674</v>
      </c>
      <c r="AY127" s="177">
        <v>120.16666666666674</v>
      </c>
      <c r="BA127" s="188">
        <v>631.57894736842104</v>
      </c>
      <c r="BB127" s="177">
        <v>679.58333333333348</v>
      </c>
      <c r="BC127" s="177">
        <v>708.1722083333334</v>
      </c>
      <c r="BE127" s="223">
        <v>368.42105263157896</v>
      </c>
      <c r="BF127" s="177">
        <v>370.41666666666652</v>
      </c>
      <c r="BG127" s="177">
        <v>373.3277916666666</v>
      </c>
      <c r="BI127" s="188">
        <v>1052.6315789473686</v>
      </c>
      <c r="BJ127" s="177">
        <v>1166.6666666666667</v>
      </c>
      <c r="BK127" s="189">
        <v>1201.6666666666667</v>
      </c>
      <c r="BM127" s="454">
        <v>50</v>
      </c>
      <c r="BN127" s="177">
        <v>53.802588996763753</v>
      </c>
      <c r="BO127" s="177">
        <v>52.777777777777771</v>
      </c>
      <c r="BP127" s="178">
        <v>7.6051779935275121E-2</v>
      </c>
      <c r="BQ127" s="179">
        <v>-1.9047619047619091E-2</v>
      </c>
      <c r="BR127" s="411">
        <v>1.1025358324145534E-2</v>
      </c>
      <c r="BS127" s="411">
        <v>1.1161360906619672E-2</v>
      </c>
      <c r="BT127" s="412">
        <v>1.1085477346132314E-2</v>
      </c>
      <c r="BV127" s="454">
        <v>4</v>
      </c>
      <c r="BW127" s="473">
        <v>4</v>
      </c>
      <c r="BX127" s="180">
        <v>0</v>
      </c>
      <c r="BY127" s="454">
        <v>4</v>
      </c>
      <c r="BZ127" s="188">
        <v>1191.5423677106883</v>
      </c>
      <c r="CA127" s="180">
        <v>296.88559192767207</v>
      </c>
      <c r="CB127" s="190">
        <v>5</v>
      </c>
      <c r="CC127" s="246">
        <v>22.61904761904762</v>
      </c>
      <c r="CD127" s="430">
        <v>3.5238095238095237</v>
      </c>
      <c r="CF127" s="490">
        <v>1241.344956707452</v>
      </c>
      <c r="CG127" s="481">
        <v>45981.486104705182</v>
      </c>
      <c r="CH127" s="178">
        <v>4.3202960518675546E-2</v>
      </c>
      <c r="CI127" s="246">
        <v>70.396825396825392</v>
      </c>
      <c r="CJ127" s="189">
        <v>26281.091365740733</v>
      </c>
      <c r="CK127" s="281">
        <v>0.7</v>
      </c>
      <c r="CM127" s="240">
        <v>12.5</v>
      </c>
      <c r="CN127" s="241">
        <v>9.000532385947789E-2</v>
      </c>
      <c r="CO127" s="242">
        <v>3.8218390804597693</v>
      </c>
    </row>
    <row r="128" spans="2:95" outlineLevel="1" x14ac:dyDescent="0.25">
      <c r="B128" s="15"/>
      <c r="C128" s="53"/>
      <c r="D128" s="53"/>
      <c r="E128" s="198" t="s">
        <v>142</v>
      </c>
      <c r="F128" s="454">
        <v>1000</v>
      </c>
      <c r="G128" s="177">
        <v>1050</v>
      </c>
      <c r="H128" s="177">
        <v>1081.5</v>
      </c>
      <c r="I128" s="181"/>
      <c r="J128" s="182"/>
      <c r="K128" s="183">
        <v>0.05</v>
      </c>
      <c r="L128" s="184">
        <v>0.03</v>
      </c>
      <c r="M128" s="411">
        <v>6.7613252197430695E-3</v>
      </c>
      <c r="N128" s="411">
        <v>6.7840413503472783E-3</v>
      </c>
      <c r="O128" s="412">
        <v>6.7260265197617072E-3</v>
      </c>
      <c r="P128" s="29"/>
      <c r="Q128" s="461">
        <v>0.65</v>
      </c>
      <c r="R128" s="343">
        <v>0.68250000000000011</v>
      </c>
      <c r="S128" s="356">
        <v>0.68932500000000008</v>
      </c>
      <c r="T128" s="185">
        <v>0.05</v>
      </c>
      <c r="U128" s="186">
        <v>0.01</v>
      </c>
      <c r="W128" s="467">
        <v>0.05</v>
      </c>
      <c r="X128" s="486">
        <v>0.1</v>
      </c>
      <c r="Y128" s="389">
        <v>0.1</v>
      </c>
      <c r="AA128" s="410">
        <v>0.63157894736842102</v>
      </c>
      <c r="AB128" s="411">
        <v>0.64722222222222237</v>
      </c>
      <c r="AC128" s="412">
        <v>0.65480555555555564</v>
      </c>
      <c r="AE128" s="187">
        <v>21.05263157894737</v>
      </c>
      <c r="AF128" s="62">
        <v>21.684210526315791</v>
      </c>
      <c r="AG128" s="69">
        <v>22.768421052631581</v>
      </c>
      <c r="AH128" s="185">
        <v>0.03</v>
      </c>
      <c r="AI128" s="186">
        <v>0.05</v>
      </c>
      <c r="AK128" s="187">
        <v>25.263157894736842</v>
      </c>
      <c r="AL128" s="62">
        <v>26.02105263157895</v>
      </c>
      <c r="AM128" s="69">
        <v>27.322105263157898</v>
      </c>
      <c r="AN128" s="420">
        <v>0.03</v>
      </c>
      <c r="AO128" s="443">
        <v>0.05</v>
      </c>
      <c r="AQ128" s="187">
        <v>20</v>
      </c>
      <c r="AR128" s="64">
        <v>19.515789473684212</v>
      </c>
      <c r="AS128" s="65">
        <v>20.491578947368424</v>
      </c>
      <c r="AT128" s="178">
        <v>-2.421052631578946E-2</v>
      </c>
      <c r="AU128" s="179">
        <v>5.0000000000000044E-2</v>
      </c>
      <c r="AW128" s="188">
        <v>52.631578947368553</v>
      </c>
      <c r="AX128" s="177">
        <v>116.66666666666674</v>
      </c>
      <c r="AY128" s="177">
        <v>120.16666666666674</v>
      </c>
      <c r="BA128" s="188">
        <v>631.57894736842104</v>
      </c>
      <c r="BB128" s="177">
        <v>679.58333333333348</v>
      </c>
      <c r="BC128" s="177">
        <v>708.1722083333334</v>
      </c>
      <c r="BE128" s="223">
        <v>368.42105263157896</v>
      </c>
      <c r="BF128" s="177">
        <v>370.41666666666652</v>
      </c>
      <c r="BG128" s="177">
        <v>373.3277916666666</v>
      </c>
      <c r="BI128" s="188">
        <v>1052.6315789473686</v>
      </c>
      <c r="BJ128" s="177">
        <v>1166.6666666666667</v>
      </c>
      <c r="BK128" s="189">
        <v>1201.6666666666667</v>
      </c>
      <c r="BM128" s="454">
        <v>50</v>
      </c>
      <c r="BN128" s="177">
        <v>53.802588996763753</v>
      </c>
      <c r="BO128" s="177">
        <v>52.777777777777771</v>
      </c>
      <c r="BP128" s="178">
        <v>7.6051779935275121E-2</v>
      </c>
      <c r="BQ128" s="179">
        <v>-1.9047619047619091E-2</v>
      </c>
      <c r="BR128" s="411">
        <v>1.1025358324145534E-2</v>
      </c>
      <c r="BS128" s="411">
        <v>1.1161360906619672E-2</v>
      </c>
      <c r="BT128" s="412">
        <v>1.1085477346132314E-2</v>
      </c>
      <c r="BV128" s="454">
        <v>4</v>
      </c>
      <c r="BW128" s="473">
        <v>4</v>
      </c>
      <c r="BX128" s="180">
        <v>0</v>
      </c>
      <c r="BY128" s="454">
        <v>4</v>
      </c>
      <c r="BZ128" s="188">
        <v>1191.5423677106883</v>
      </c>
      <c r="CA128" s="180">
        <v>296.88559192767207</v>
      </c>
      <c r="CB128" s="190">
        <v>5</v>
      </c>
      <c r="CC128" s="246">
        <v>22.61904761904762</v>
      </c>
      <c r="CD128" s="430">
        <v>3.5238095238095237</v>
      </c>
      <c r="CF128" s="490">
        <v>1241.344956707452</v>
      </c>
      <c r="CG128" s="481">
        <v>45981.486104705182</v>
      </c>
      <c r="CH128" s="178">
        <v>4.3202960518675546E-2</v>
      </c>
      <c r="CI128" s="246">
        <v>70.396825396825392</v>
      </c>
      <c r="CJ128" s="189">
        <v>26281.091365740733</v>
      </c>
      <c r="CK128" s="281">
        <v>0.7</v>
      </c>
      <c r="CM128" s="240">
        <v>12.5</v>
      </c>
      <c r="CN128" s="241">
        <v>9.000532385947789E-2</v>
      </c>
      <c r="CO128" s="242">
        <v>3.8218390804597693</v>
      </c>
    </row>
    <row r="129" spans="2:93" outlineLevel="1" x14ac:dyDescent="0.25">
      <c r="B129" s="15"/>
      <c r="C129" s="53"/>
      <c r="D129" s="53"/>
      <c r="E129" s="198" t="s">
        <v>143</v>
      </c>
      <c r="F129" s="454">
        <v>1000</v>
      </c>
      <c r="G129" s="177">
        <v>1050</v>
      </c>
      <c r="H129" s="177">
        <v>1081.5</v>
      </c>
      <c r="I129" s="181"/>
      <c r="J129" s="182"/>
      <c r="K129" s="183">
        <v>0.05</v>
      </c>
      <c r="L129" s="184">
        <v>0.03</v>
      </c>
      <c r="M129" s="411">
        <v>6.7613252197430695E-3</v>
      </c>
      <c r="N129" s="411">
        <v>6.7840413503472783E-3</v>
      </c>
      <c r="O129" s="412">
        <v>6.7260265197617072E-3</v>
      </c>
      <c r="P129" s="29"/>
      <c r="Q129" s="461">
        <v>0.65</v>
      </c>
      <c r="R129" s="343">
        <v>0.68250000000000011</v>
      </c>
      <c r="S129" s="356">
        <v>0.68932500000000008</v>
      </c>
      <c r="T129" s="185">
        <v>0.05</v>
      </c>
      <c r="U129" s="186">
        <v>0.01</v>
      </c>
      <c r="W129" s="467">
        <v>0.05</v>
      </c>
      <c r="X129" s="486">
        <v>0.1</v>
      </c>
      <c r="Y129" s="389">
        <v>0.1</v>
      </c>
      <c r="AA129" s="410">
        <v>0.63157894736842102</v>
      </c>
      <c r="AB129" s="411">
        <v>0.64722222222222237</v>
      </c>
      <c r="AC129" s="412">
        <v>0.65480555555555564</v>
      </c>
      <c r="AE129" s="187">
        <v>21.05263157894737</v>
      </c>
      <c r="AF129" s="62">
        <v>21.684210526315791</v>
      </c>
      <c r="AG129" s="69">
        <v>22.768421052631581</v>
      </c>
      <c r="AH129" s="185">
        <v>0.03</v>
      </c>
      <c r="AI129" s="186">
        <v>0.05</v>
      </c>
      <c r="AK129" s="187">
        <v>25.263157894736842</v>
      </c>
      <c r="AL129" s="62">
        <v>26.02105263157895</v>
      </c>
      <c r="AM129" s="69">
        <v>27.322105263157898</v>
      </c>
      <c r="AN129" s="420">
        <v>0.03</v>
      </c>
      <c r="AO129" s="443">
        <v>0.05</v>
      </c>
      <c r="AQ129" s="187">
        <v>20</v>
      </c>
      <c r="AR129" s="64">
        <v>19.515789473684212</v>
      </c>
      <c r="AS129" s="65">
        <v>20.491578947368424</v>
      </c>
      <c r="AT129" s="178">
        <v>-2.421052631578946E-2</v>
      </c>
      <c r="AU129" s="179">
        <v>5.0000000000000044E-2</v>
      </c>
      <c r="AW129" s="188">
        <v>52.631578947368553</v>
      </c>
      <c r="AX129" s="177">
        <v>116.66666666666674</v>
      </c>
      <c r="AY129" s="177">
        <v>120.16666666666674</v>
      </c>
      <c r="BA129" s="188">
        <v>631.57894736842104</v>
      </c>
      <c r="BB129" s="177">
        <v>679.58333333333348</v>
      </c>
      <c r="BC129" s="177">
        <v>708.1722083333334</v>
      </c>
      <c r="BE129" s="223">
        <v>368.42105263157896</v>
      </c>
      <c r="BF129" s="177">
        <v>370.41666666666652</v>
      </c>
      <c r="BG129" s="177">
        <v>373.3277916666666</v>
      </c>
      <c r="BI129" s="188">
        <v>1052.6315789473686</v>
      </c>
      <c r="BJ129" s="177">
        <v>1166.6666666666667</v>
      </c>
      <c r="BK129" s="189">
        <v>1201.6666666666667</v>
      </c>
      <c r="BM129" s="454">
        <v>50</v>
      </c>
      <c r="BN129" s="177">
        <v>53.802588996763753</v>
      </c>
      <c r="BO129" s="177">
        <v>52.777777777777771</v>
      </c>
      <c r="BP129" s="178">
        <v>7.6051779935275121E-2</v>
      </c>
      <c r="BQ129" s="179">
        <v>-1.9047619047619091E-2</v>
      </c>
      <c r="BR129" s="411">
        <v>1.1025358324145534E-2</v>
      </c>
      <c r="BS129" s="411">
        <v>1.1161360906619672E-2</v>
      </c>
      <c r="BT129" s="412">
        <v>1.1085477346132314E-2</v>
      </c>
      <c r="BV129" s="454">
        <v>4</v>
      </c>
      <c r="BW129" s="473">
        <v>4</v>
      </c>
      <c r="BX129" s="180">
        <v>0</v>
      </c>
      <c r="BY129" s="454">
        <v>4</v>
      </c>
      <c r="BZ129" s="188">
        <v>1191.5423677106883</v>
      </c>
      <c r="CA129" s="180">
        <v>296.88559192767207</v>
      </c>
      <c r="CB129" s="190">
        <v>5</v>
      </c>
      <c r="CC129" s="246">
        <v>22.61904761904762</v>
      </c>
      <c r="CD129" s="430">
        <v>3.5238095238095237</v>
      </c>
      <c r="CF129" s="490">
        <v>1241.344956707452</v>
      </c>
      <c r="CG129" s="481">
        <v>45981.486104705182</v>
      </c>
      <c r="CH129" s="178">
        <v>4.3202960518675546E-2</v>
      </c>
      <c r="CI129" s="246">
        <v>70.396825396825392</v>
      </c>
      <c r="CJ129" s="189">
        <v>26281.091365740733</v>
      </c>
      <c r="CK129" s="281">
        <v>0.7</v>
      </c>
      <c r="CM129" s="240">
        <v>12.5</v>
      </c>
      <c r="CN129" s="241">
        <v>9.000532385947789E-2</v>
      </c>
      <c r="CO129" s="242">
        <v>3.8218390804597693</v>
      </c>
    </row>
    <row r="130" spans="2:93" outlineLevel="1" x14ac:dyDescent="0.25">
      <c r="B130" s="199"/>
      <c r="C130" s="73"/>
      <c r="D130" s="73"/>
      <c r="E130" s="198" t="s">
        <v>144</v>
      </c>
      <c r="F130" s="454">
        <v>1000</v>
      </c>
      <c r="G130" s="177">
        <v>1050</v>
      </c>
      <c r="H130" s="177">
        <v>1081.5</v>
      </c>
      <c r="I130" s="195"/>
      <c r="J130" s="182"/>
      <c r="K130" s="183">
        <v>0.05</v>
      </c>
      <c r="L130" s="184">
        <v>0.03</v>
      </c>
      <c r="M130" s="411">
        <v>6.7613252197430695E-3</v>
      </c>
      <c r="N130" s="411">
        <v>6.7840413503472783E-3</v>
      </c>
      <c r="O130" s="412">
        <v>6.7260265197617072E-3</v>
      </c>
      <c r="P130" s="29"/>
      <c r="Q130" s="461">
        <v>0.65</v>
      </c>
      <c r="R130" s="343">
        <v>0.68250000000000011</v>
      </c>
      <c r="S130" s="356">
        <v>0.68932500000000008</v>
      </c>
      <c r="T130" s="185">
        <v>0.05</v>
      </c>
      <c r="U130" s="186">
        <v>0.01</v>
      </c>
      <c r="W130" s="467">
        <v>0.05</v>
      </c>
      <c r="X130" s="486">
        <v>0.1</v>
      </c>
      <c r="Y130" s="389">
        <v>0.1</v>
      </c>
      <c r="AA130" s="410">
        <v>0.63157894736842102</v>
      </c>
      <c r="AB130" s="411">
        <v>0.64722222222222237</v>
      </c>
      <c r="AC130" s="412">
        <v>0.65480555555555564</v>
      </c>
      <c r="AE130" s="187">
        <v>21.05263157894737</v>
      </c>
      <c r="AF130" s="62">
        <v>21.684210526315791</v>
      </c>
      <c r="AG130" s="69">
        <v>22.768421052631581</v>
      </c>
      <c r="AH130" s="185">
        <v>0.03</v>
      </c>
      <c r="AI130" s="186">
        <v>0.05</v>
      </c>
      <c r="AK130" s="187">
        <v>25.263157894736842</v>
      </c>
      <c r="AL130" s="62">
        <v>26.02105263157895</v>
      </c>
      <c r="AM130" s="69">
        <v>27.322105263157898</v>
      </c>
      <c r="AN130" s="420">
        <v>0.03</v>
      </c>
      <c r="AO130" s="443">
        <v>0.05</v>
      </c>
      <c r="AQ130" s="187">
        <v>20</v>
      </c>
      <c r="AR130" s="64">
        <v>19.515789473684212</v>
      </c>
      <c r="AS130" s="65">
        <v>20.491578947368424</v>
      </c>
      <c r="AT130" s="178">
        <v>-2.421052631578946E-2</v>
      </c>
      <c r="AU130" s="179">
        <v>5.0000000000000044E-2</v>
      </c>
      <c r="AW130" s="188">
        <v>52.631578947368553</v>
      </c>
      <c r="AX130" s="177">
        <v>116.66666666666674</v>
      </c>
      <c r="AY130" s="177">
        <v>120.16666666666674</v>
      </c>
      <c r="BA130" s="188">
        <v>631.57894736842104</v>
      </c>
      <c r="BB130" s="177">
        <v>679.58333333333348</v>
      </c>
      <c r="BC130" s="177">
        <v>708.1722083333334</v>
      </c>
      <c r="BE130" s="223">
        <v>368.42105263157896</v>
      </c>
      <c r="BF130" s="177">
        <v>370.41666666666652</v>
      </c>
      <c r="BG130" s="177">
        <v>373.3277916666666</v>
      </c>
      <c r="BI130" s="188">
        <v>1052.6315789473686</v>
      </c>
      <c r="BJ130" s="177">
        <v>1166.6666666666667</v>
      </c>
      <c r="BK130" s="189">
        <v>1201.6666666666667</v>
      </c>
      <c r="BM130" s="454">
        <v>50</v>
      </c>
      <c r="BN130" s="177">
        <v>53.802588996763753</v>
      </c>
      <c r="BO130" s="177">
        <v>52.777777777777771</v>
      </c>
      <c r="BP130" s="178">
        <v>7.6051779935275121E-2</v>
      </c>
      <c r="BQ130" s="179">
        <v>-1.9047619047619091E-2</v>
      </c>
      <c r="BR130" s="411">
        <v>1.1025358324145534E-2</v>
      </c>
      <c r="BS130" s="411">
        <v>1.1161360906619672E-2</v>
      </c>
      <c r="BT130" s="412">
        <v>1.1085477346132314E-2</v>
      </c>
      <c r="BV130" s="454">
        <v>4</v>
      </c>
      <c r="BW130" s="473">
        <v>4</v>
      </c>
      <c r="BX130" s="180">
        <v>0</v>
      </c>
      <c r="BY130" s="454">
        <v>4</v>
      </c>
      <c r="BZ130" s="188">
        <v>1191.5423677106883</v>
      </c>
      <c r="CA130" s="180">
        <v>296.88559192767207</v>
      </c>
      <c r="CB130" s="190">
        <v>5</v>
      </c>
      <c r="CC130" s="246">
        <v>22.61904761904762</v>
      </c>
      <c r="CD130" s="430">
        <v>3.5238095238095237</v>
      </c>
      <c r="CF130" s="490">
        <v>1241.344956707452</v>
      </c>
      <c r="CG130" s="481">
        <v>45981.486104705182</v>
      </c>
      <c r="CH130" s="178">
        <v>4.3202960518675546E-2</v>
      </c>
      <c r="CI130" s="246">
        <v>70.396825396825392</v>
      </c>
      <c r="CJ130" s="189">
        <v>26281.091365740733</v>
      </c>
      <c r="CK130" s="281">
        <v>0.7</v>
      </c>
      <c r="CM130" s="240">
        <v>12.5</v>
      </c>
      <c r="CN130" s="241">
        <v>9.000532385947789E-2</v>
      </c>
      <c r="CO130" s="242">
        <v>3.8218390804597693</v>
      </c>
    </row>
    <row r="131" spans="2:93" ht="13.5" customHeight="1" x14ac:dyDescent="0.25">
      <c r="B131" s="540" t="s">
        <v>79</v>
      </c>
      <c r="C131" s="540"/>
      <c r="D131" s="540"/>
      <c r="E131" s="540"/>
      <c r="F131" s="88">
        <v>7000</v>
      </c>
      <c r="G131" s="89">
        <v>7350</v>
      </c>
      <c r="H131" s="90">
        <v>7570.5</v>
      </c>
      <c r="I131" s="90"/>
      <c r="J131" s="103"/>
      <c r="K131" s="91">
        <v>5.0000000000000044E-2</v>
      </c>
      <c r="L131" s="103">
        <v>3.0000000000000027E-2</v>
      </c>
      <c r="M131" s="367">
        <v>4.7329276538201487E-2</v>
      </c>
      <c r="N131" s="367">
        <v>4.748828945243095E-2</v>
      </c>
      <c r="O131" s="94">
        <v>4.7082185638331948E-2</v>
      </c>
      <c r="P131" s="29"/>
      <c r="Q131" s="345">
        <v>0.68157894736842095</v>
      </c>
      <c r="R131" s="346">
        <v>0.74722222222222234</v>
      </c>
      <c r="S131" s="349">
        <v>0.75480555555555573</v>
      </c>
      <c r="T131" s="93">
        <v>9.6310596310596575E-2</v>
      </c>
      <c r="U131" s="92">
        <v>1.0148698884758334E-2</v>
      </c>
      <c r="V131" s="13"/>
      <c r="W131" s="375">
        <v>5.0000000000000031E-2</v>
      </c>
      <c r="X131" s="376">
        <v>0.10000000000000013</v>
      </c>
      <c r="Y131" s="377">
        <v>0.10000000000000013</v>
      </c>
      <c r="AA131" s="366">
        <v>0.63157894736842091</v>
      </c>
      <c r="AB131" s="367">
        <v>0.64722222222222225</v>
      </c>
      <c r="AC131" s="94">
        <v>0.65480555555555564</v>
      </c>
      <c r="AE131" s="95">
        <v>19.999999999999993</v>
      </c>
      <c r="AF131" s="96">
        <v>20.599999999999994</v>
      </c>
      <c r="AG131" s="99">
        <v>21.629999999999995</v>
      </c>
      <c r="AH131" s="93">
        <v>0.03</v>
      </c>
      <c r="AI131" s="92">
        <v>0.05</v>
      </c>
      <c r="AK131" s="95">
        <v>23.999999999999989</v>
      </c>
      <c r="AL131" s="96">
        <v>24.719999999999992</v>
      </c>
      <c r="AM131" s="99">
        <v>25.955999999999992</v>
      </c>
      <c r="AN131" s="93">
        <v>0.03</v>
      </c>
      <c r="AO131" s="92">
        <v>0.05</v>
      </c>
      <c r="AQ131" s="95">
        <v>20</v>
      </c>
      <c r="AR131" s="96">
        <v>19.515789473684212</v>
      </c>
      <c r="AS131" s="99">
        <v>20.491578947368424</v>
      </c>
      <c r="AT131" s="91">
        <v>-2.421052631578946E-2</v>
      </c>
      <c r="AU131" s="92">
        <v>5.0000000000000044E-2</v>
      </c>
      <c r="AW131" s="88">
        <v>368.42105263157987</v>
      </c>
      <c r="AX131" s="89">
        <v>816.6666666666672</v>
      </c>
      <c r="AY131" s="90">
        <v>841.1666666666672</v>
      </c>
      <c r="BA131" s="88">
        <v>4421.0526315789466</v>
      </c>
      <c r="BB131" s="89">
        <v>4757.0833333333339</v>
      </c>
      <c r="BC131" s="90">
        <v>4957.2054583333338</v>
      </c>
      <c r="BE131" s="88">
        <v>2578.9473684210525</v>
      </c>
      <c r="BF131" s="89">
        <v>2592.9166666666656</v>
      </c>
      <c r="BG131" s="89">
        <v>2613.2945416666662</v>
      </c>
      <c r="BI131" s="100">
        <v>7368.4210526315792</v>
      </c>
      <c r="BJ131" s="101">
        <v>8166.6666666666679</v>
      </c>
      <c r="BK131" s="102">
        <v>8411.6666666666679</v>
      </c>
      <c r="BM131" s="88">
        <v>350</v>
      </c>
      <c r="BN131" s="89">
        <v>376.61812297734627</v>
      </c>
      <c r="BO131" s="89">
        <v>369.4444444444444</v>
      </c>
      <c r="BP131" s="91">
        <v>7.6051779935275121E-2</v>
      </c>
      <c r="BQ131" s="92">
        <v>-1.9047619047619202E-2</v>
      </c>
      <c r="BR131" s="367">
        <v>7.7177508269018744E-2</v>
      </c>
      <c r="BS131" s="367">
        <v>7.8129526346337713E-2</v>
      </c>
      <c r="BT131" s="94">
        <v>7.7598341422926195E-2</v>
      </c>
      <c r="BV131" s="88">
        <v>28</v>
      </c>
      <c r="BW131" s="285">
        <v>28</v>
      </c>
      <c r="BX131" s="92">
        <v>0</v>
      </c>
      <c r="BY131" s="88">
        <v>28</v>
      </c>
      <c r="BZ131" s="285">
        <v>8340.7965739748179</v>
      </c>
      <c r="CA131" s="92">
        <v>296.88559192767207</v>
      </c>
      <c r="CB131" s="285">
        <v>35</v>
      </c>
      <c r="CC131" s="282">
        <v>158.33333333333334</v>
      </c>
      <c r="CD131" s="103">
        <v>3.5238095238095237</v>
      </c>
      <c r="CF131" s="115">
        <v>8689.4146969521644</v>
      </c>
      <c r="CG131" s="102">
        <v>321870.40273293632</v>
      </c>
      <c r="CH131" s="252">
        <v>4.3202960518675546E-2</v>
      </c>
      <c r="CI131" s="115">
        <v>492.77777777777783</v>
      </c>
      <c r="CJ131" s="102">
        <v>183967.63956018511</v>
      </c>
      <c r="CK131" s="308">
        <v>0.69999999999999984</v>
      </c>
      <c r="CM131" s="290">
        <v>12.5</v>
      </c>
      <c r="CN131" s="291">
        <v>9.000532385947789E-2</v>
      </c>
      <c r="CO131" s="292">
        <v>3.8218390804597693</v>
      </c>
    </row>
    <row r="132" spans="2:93" outlineLevel="1" x14ac:dyDescent="0.25">
      <c r="B132" s="160" t="s">
        <v>76</v>
      </c>
      <c r="C132" s="23" t="s">
        <v>80</v>
      </c>
      <c r="D132" s="23" t="s">
        <v>31</v>
      </c>
      <c r="E132" s="198" t="s">
        <v>138</v>
      </c>
      <c r="F132" s="454">
        <v>1000</v>
      </c>
      <c r="G132" s="177">
        <v>1050</v>
      </c>
      <c r="H132" s="177">
        <v>1081.5</v>
      </c>
      <c r="I132" s="166"/>
      <c r="J132" s="182"/>
      <c r="K132" s="183">
        <v>0.05</v>
      </c>
      <c r="L132" s="184">
        <v>0.03</v>
      </c>
      <c r="M132" s="411">
        <v>6.7613252197430695E-3</v>
      </c>
      <c r="N132" s="411">
        <v>6.7840413503472783E-3</v>
      </c>
      <c r="O132" s="412">
        <v>6.7260265197617072E-3</v>
      </c>
      <c r="P132" s="29"/>
      <c r="Q132" s="461">
        <v>0.65</v>
      </c>
      <c r="R132" s="343">
        <v>0.68250000000000011</v>
      </c>
      <c r="S132" s="356">
        <v>0.68932500000000008</v>
      </c>
      <c r="T132" s="185">
        <v>0.05</v>
      </c>
      <c r="U132" s="186">
        <v>0.01</v>
      </c>
      <c r="V132" s="29"/>
      <c r="W132" s="467">
        <v>0.05</v>
      </c>
      <c r="X132" s="486">
        <v>0.1</v>
      </c>
      <c r="Y132" s="389">
        <v>0.1</v>
      </c>
      <c r="AA132" s="410">
        <v>0.63157894736842102</v>
      </c>
      <c r="AB132" s="411">
        <v>0.64722222222222237</v>
      </c>
      <c r="AC132" s="412">
        <v>0.65480555555555564</v>
      </c>
      <c r="AE132" s="187">
        <v>21.05263157894737</v>
      </c>
      <c r="AF132" s="62">
        <v>21.684210526315791</v>
      </c>
      <c r="AG132" s="69">
        <v>22.768421052631581</v>
      </c>
      <c r="AH132" s="185">
        <v>0.03</v>
      </c>
      <c r="AI132" s="186">
        <v>0.05</v>
      </c>
      <c r="AK132" s="187">
        <v>25.263157894736842</v>
      </c>
      <c r="AL132" s="62">
        <v>26.02105263157895</v>
      </c>
      <c r="AM132" s="69">
        <v>27.322105263157898</v>
      </c>
      <c r="AN132" s="420">
        <v>0.03</v>
      </c>
      <c r="AO132" s="443">
        <v>0.05</v>
      </c>
      <c r="AQ132" s="187">
        <v>20</v>
      </c>
      <c r="AR132" s="64">
        <v>19.515789473684212</v>
      </c>
      <c r="AS132" s="65">
        <v>20.491578947368424</v>
      </c>
      <c r="AT132" s="178">
        <v>-2.421052631578946E-2</v>
      </c>
      <c r="AU132" s="179">
        <v>5.0000000000000044E-2</v>
      </c>
      <c r="AW132" s="188">
        <v>52.631578947368553</v>
      </c>
      <c r="AX132" s="177">
        <v>116.66666666666674</v>
      </c>
      <c r="AY132" s="177">
        <v>120.16666666666674</v>
      </c>
      <c r="BA132" s="188">
        <v>631.57894736842104</v>
      </c>
      <c r="BB132" s="177">
        <v>679.58333333333348</v>
      </c>
      <c r="BC132" s="177">
        <v>708.1722083333334</v>
      </c>
      <c r="BE132" s="223">
        <v>368.42105263157896</v>
      </c>
      <c r="BF132" s="177">
        <v>370.41666666666652</v>
      </c>
      <c r="BG132" s="177">
        <v>373.3277916666666</v>
      </c>
      <c r="BI132" s="188">
        <v>1052.6315789473686</v>
      </c>
      <c r="BJ132" s="177">
        <v>1166.6666666666667</v>
      </c>
      <c r="BK132" s="189">
        <v>1201.6666666666667</v>
      </c>
      <c r="BM132" s="454">
        <v>50</v>
      </c>
      <c r="BN132" s="177">
        <v>53.802588996763753</v>
      </c>
      <c r="BO132" s="177">
        <v>52.777777777777771</v>
      </c>
      <c r="BP132" s="178">
        <v>7.6051779935275121E-2</v>
      </c>
      <c r="BQ132" s="179">
        <v>-1.9047619047619091E-2</v>
      </c>
      <c r="BR132" s="411">
        <v>1.1025358324145534E-2</v>
      </c>
      <c r="BS132" s="411">
        <v>1.1161360906619672E-2</v>
      </c>
      <c r="BT132" s="412">
        <v>1.1085477346132314E-2</v>
      </c>
      <c r="BV132" s="454">
        <v>4</v>
      </c>
      <c r="BW132" s="473">
        <v>4</v>
      </c>
      <c r="BX132" s="180">
        <v>0</v>
      </c>
      <c r="BY132" s="454">
        <v>4</v>
      </c>
      <c r="BZ132" s="188">
        <v>1191.5423677106883</v>
      </c>
      <c r="CA132" s="180">
        <v>296.88559192767207</v>
      </c>
      <c r="CB132" s="190">
        <v>5</v>
      </c>
      <c r="CC132" s="246">
        <v>22.61904761904762</v>
      </c>
      <c r="CD132" s="430">
        <v>3.5238095238095237</v>
      </c>
      <c r="CF132" s="490">
        <v>1241.344956707452</v>
      </c>
      <c r="CG132" s="481">
        <v>45981.486104705182</v>
      </c>
      <c r="CH132" s="178">
        <v>4.3202960518675546E-2</v>
      </c>
      <c r="CI132" s="246">
        <v>70.396825396825392</v>
      </c>
      <c r="CJ132" s="189">
        <v>26281.091365740733</v>
      </c>
      <c r="CK132" s="281">
        <v>0.7</v>
      </c>
      <c r="CM132" s="240">
        <v>12.5</v>
      </c>
      <c r="CN132" s="241">
        <v>9.000532385947789E-2</v>
      </c>
      <c r="CO132" s="242">
        <v>3.8218390804597693</v>
      </c>
    </row>
    <row r="133" spans="2:93" outlineLevel="1" x14ac:dyDescent="0.25">
      <c r="B133" s="15"/>
      <c r="C133" s="53"/>
      <c r="D133" s="53"/>
      <c r="E133" s="198" t="s">
        <v>140</v>
      </c>
      <c r="F133" s="454">
        <v>1000</v>
      </c>
      <c r="G133" s="177">
        <v>1050</v>
      </c>
      <c r="H133" s="177">
        <v>1081.5</v>
      </c>
      <c r="I133" s="181"/>
      <c r="J133" s="182"/>
      <c r="K133" s="183">
        <v>0.05</v>
      </c>
      <c r="L133" s="184">
        <v>0.03</v>
      </c>
      <c r="M133" s="411">
        <v>6.7613252197430695E-3</v>
      </c>
      <c r="N133" s="411">
        <v>6.7840413503472783E-3</v>
      </c>
      <c r="O133" s="412">
        <v>6.7260265197617072E-3</v>
      </c>
      <c r="P133" s="29"/>
      <c r="Q133" s="461">
        <v>0.65</v>
      </c>
      <c r="R133" s="343">
        <v>0.68250000000000011</v>
      </c>
      <c r="S133" s="356">
        <v>0.68932500000000008</v>
      </c>
      <c r="T133" s="185">
        <v>0.05</v>
      </c>
      <c r="U133" s="186">
        <v>0.01</v>
      </c>
      <c r="W133" s="467">
        <v>0.05</v>
      </c>
      <c r="X133" s="486">
        <v>0.1</v>
      </c>
      <c r="Y133" s="389">
        <v>0.1</v>
      </c>
      <c r="AA133" s="410">
        <v>0.63157894736842102</v>
      </c>
      <c r="AB133" s="411">
        <v>0.64722222222222237</v>
      </c>
      <c r="AC133" s="412">
        <v>0.65480555555555564</v>
      </c>
      <c r="AE133" s="187">
        <v>21.05263157894737</v>
      </c>
      <c r="AF133" s="62">
        <v>21.684210526315791</v>
      </c>
      <c r="AG133" s="69">
        <v>22.768421052631581</v>
      </c>
      <c r="AH133" s="185">
        <v>0.03</v>
      </c>
      <c r="AI133" s="186">
        <v>0.05</v>
      </c>
      <c r="AK133" s="187">
        <v>25.263157894736842</v>
      </c>
      <c r="AL133" s="62">
        <v>26.02105263157895</v>
      </c>
      <c r="AM133" s="69">
        <v>27.322105263157898</v>
      </c>
      <c r="AN133" s="420">
        <v>0.03</v>
      </c>
      <c r="AO133" s="443">
        <v>0.05</v>
      </c>
      <c r="AQ133" s="187">
        <v>20</v>
      </c>
      <c r="AR133" s="64">
        <v>19.515789473684212</v>
      </c>
      <c r="AS133" s="65">
        <v>20.491578947368424</v>
      </c>
      <c r="AT133" s="178">
        <v>-2.421052631578946E-2</v>
      </c>
      <c r="AU133" s="179">
        <v>5.0000000000000044E-2</v>
      </c>
      <c r="AW133" s="188">
        <v>52.631578947368553</v>
      </c>
      <c r="AX133" s="177">
        <v>116.66666666666674</v>
      </c>
      <c r="AY133" s="177">
        <v>120.16666666666674</v>
      </c>
      <c r="BA133" s="188">
        <v>631.57894736842104</v>
      </c>
      <c r="BB133" s="177">
        <v>679.58333333333348</v>
      </c>
      <c r="BC133" s="177">
        <v>708.1722083333334</v>
      </c>
      <c r="BE133" s="223">
        <v>368.42105263157896</v>
      </c>
      <c r="BF133" s="177">
        <v>370.41666666666652</v>
      </c>
      <c r="BG133" s="177">
        <v>373.3277916666666</v>
      </c>
      <c r="BI133" s="188">
        <v>1052.6315789473686</v>
      </c>
      <c r="BJ133" s="177">
        <v>1166.6666666666667</v>
      </c>
      <c r="BK133" s="189">
        <v>1201.6666666666667</v>
      </c>
      <c r="BM133" s="454">
        <v>50</v>
      </c>
      <c r="BN133" s="177">
        <v>53.802588996763753</v>
      </c>
      <c r="BO133" s="177">
        <v>52.777777777777771</v>
      </c>
      <c r="BP133" s="178">
        <v>7.6051779935275121E-2</v>
      </c>
      <c r="BQ133" s="179">
        <v>-1.9047619047619091E-2</v>
      </c>
      <c r="BR133" s="411">
        <v>1.1025358324145534E-2</v>
      </c>
      <c r="BS133" s="411">
        <v>1.1161360906619672E-2</v>
      </c>
      <c r="BT133" s="412">
        <v>1.1085477346132314E-2</v>
      </c>
      <c r="BV133" s="454">
        <v>4</v>
      </c>
      <c r="BW133" s="473">
        <v>4</v>
      </c>
      <c r="BX133" s="180">
        <v>0</v>
      </c>
      <c r="BY133" s="454">
        <v>4</v>
      </c>
      <c r="BZ133" s="188">
        <v>1191.5423677106883</v>
      </c>
      <c r="CA133" s="180">
        <v>296.88559192767207</v>
      </c>
      <c r="CB133" s="190">
        <v>5</v>
      </c>
      <c r="CC133" s="246">
        <v>22.61904761904762</v>
      </c>
      <c r="CD133" s="430">
        <v>3.5238095238095237</v>
      </c>
      <c r="CF133" s="490">
        <v>1241.344956707452</v>
      </c>
      <c r="CG133" s="481">
        <v>45981.486104705182</v>
      </c>
      <c r="CH133" s="178">
        <v>4.3202960518675546E-2</v>
      </c>
      <c r="CI133" s="246">
        <v>70.396825396825392</v>
      </c>
      <c r="CJ133" s="189">
        <v>26281.091365740733</v>
      </c>
      <c r="CK133" s="281">
        <v>0.7</v>
      </c>
      <c r="CM133" s="240">
        <v>12.5</v>
      </c>
      <c r="CN133" s="241">
        <v>9.000532385947789E-2</v>
      </c>
      <c r="CO133" s="242">
        <v>3.8218390804597693</v>
      </c>
    </row>
    <row r="134" spans="2:93" outlineLevel="1" x14ac:dyDescent="0.25">
      <c r="B134" s="199"/>
      <c r="C134" s="73"/>
      <c r="D134" s="73"/>
      <c r="E134" s="198" t="s">
        <v>143</v>
      </c>
      <c r="F134" s="454">
        <v>1000</v>
      </c>
      <c r="G134" s="177">
        <v>1050</v>
      </c>
      <c r="H134" s="177">
        <v>1081.5</v>
      </c>
      <c r="I134" s="195"/>
      <c r="J134" s="182"/>
      <c r="K134" s="183">
        <v>0.05</v>
      </c>
      <c r="L134" s="184">
        <v>0.03</v>
      </c>
      <c r="M134" s="411">
        <v>6.7613252197430695E-3</v>
      </c>
      <c r="N134" s="411">
        <v>6.7840413503472783E-3</v>
      </c>
      <c r="O134" s="412">
        <v>6.7260265197617072E-3</v>
      </c>
      <c r="P134" s="29"/>
      <c r="Q134" s="461">
        <v>0.65</v>
      </c>
      <c r="R134" s="343">
        <v>0.68250000000000011</v>
      </c>
      <c r="S134" s="356">
        <v>0.68932500000000008</v>
      </c>
      <c r="T134" s="185">
        <v>0.05</v>
      </c>
      <c r="U134" s="186">
        <v>0.01</v>
      </c>
      <c r="W134" s="467">
        <v>0.05</v>
      </c>
      <c r="X134" s="486">
        <v>0.1</v>
      </c>
      <c r="Y134" s="389">
        <v>0.1</v>
      </c>
      <c r="AA134" s="410">
        <v>0.63157894736842102</v>
      </c>
      <c r="AB134" s="411">
        <v>0.64722222222222237</v>
      </c>
      <c r="AC134" s="412">
        <v>0.65480555555555564</v>
      </c>
      <c r="AE134" s="187">
        <v>21.05263157894737</v>
      </c>
      <c r="AF134" s="62">
        <v>21.684210526315791</v>
      </c>
      <c r="AG134" s="69">
        <v>22.768421052631581</v>
      </c>
      <c r="AH134" s="185">
        <v>0.03</v>
      </c>
      <c r="AI134" s="186">
        <v>0.05</v>
      </c>
      <c r="AK134" s="187">
        <v>25.263157894736842</v>
      </c>
      <c r="AL134" s="62">
        <v>26.02105263157895</v>
      </c>
      <c r="AM134" s="69">
        <v>27.322105263157898</v>
      </c>
      <c r="AN134" s="420">
        <v>0.03</v>
      </c>
      <c r="AO134" s="443">
        <v>0.05</v>
      </c>
      <c r="AQ134" s="187">
        <v>20</v>
      </c>
      <c r="AR134" s="64">
        <v>19.515789473684212</v>
      </c>
      <c r="AS134" s="65">
        <v>20.491578947368424</v>
      </c>
      <c r="AT134" s="178">
        <v>-2.421052631578946E-2</v>
      </c>
      <c r="AU134" s="179">
        <v>5.0000000000000044E-2</v>
      </c>
      <c r="AW134" s="188">
        <v>52.631578947368553</v>
      </c>
      <c r="AX134" s="177">
        <v>116.66666666666674</v>
      </c>
      <c r="AY134" s="177">
        <v>120.16666666666674</v>
      </c>
      <c r="BA134" s="188">
        <v>631.57894736842104</v>
      </c>
      <c r="BB134" s="177">
        <v>679.58333333333348</v>
      </c>
      <c r="BC134" s="177">
        <v>708.1722083333334</v>
      </c>
      <c r="BE134" s="223">
        <v>368.42105263157896</v>
      </c>
      <c r="BF134" s="177">
        <v>370.41666666666652</v>
      </c>
      <c r="BG134" s="177">
        <v>373.3277916666666</v>
      </c>
      <c r="BI134" s="188">
        <v>1052.6315789473686</v>
      </c>
      <c r="BJ134" s="177">
        <v>1166.6666666666667</v>
      </c>
      <c r="BK134" s="189">
        <v>1201.6666666666667</v>
      </c>
      <c r="BM134" s="454">
        <v>50</v>
      </c>
      <c r="BN134" s="177">
        <v>53.802588996763753</v>
      </c>
      <c r="BO134" s="177">
        <v>52.777777777777771</v>
      </c>
      <c r="BP134" s="178">
        <v>7.6051779935275121E-2</v>
      </c>
      <c r="BQ134" s="179">
        <v>-1.9047619047619091E-2</v>
      </c>
      <c r="BR134" s="411">
        <v>1.1025358324145534E-2</v>
      </c>
      <c r="BS134" s="411">
        <v>1.1161360906619672E-2</v>
      </c>
      <c r="BT134" s="412">
        <v>1.1085477346132314E-2</v>
      </c>
      <c r="BV134" s="454">
        <v>4</v>
      </c>
      <c r="BW134" s="473">
        <v>4</v>
      </c>
      <c r="BX134" s="180">
        <v>0</v>
      </c>
      <c r="BY134" s="454">
        <v>4</v>
      </c>
      <c r="BZ134" s="188">
        <v>1191.5423677106883</v>
      </c>
      <c r="CA134" s="180">
        <v>296.88559192767207</v>
      </c>
      <c r="CB134" s="190">
        <v>5</v>
      </c>
      <c r="CC134" s="246">
        <v>22.61904761904762</v>
      </c>
      <c r="CD134" s="430">
        <v>3.5238095238095237</v>
      </c>
      <c r="CF134" s="490">
        <v>1241.344956707452</v>
      </c>
      <c r="CG134" s="481">
        <v>45981.486104705182</v>
      </c>
      <c r="CH134" s="178">
        <v>4.3202960518675546E-2</v>
      </c>
      <c r="CI134" s="246">
        <v>70.396825396825392</v>
      </c>
      <c r="CJ134" s="189">
        <v>26281.091365740733</v>
      </c>
      <c r="CK134" s="281">
        <v>0.7</v>
      </c>
      <c r="CM134" s="240">
        <v>12.5</v>
      </c>
      <c r="CN134" s="241">
        <v>9.000532385947789E-2</v>
      </c>
      <c r="CO134" s="242">
        <v>3.8218390804597693</v>
      </c>
    </row>
    <row r="135" spans="2:93" ht="13.5" customHeight="1" x14ac:dyDescent="0.25">
      <c r="B135" s="540" t="s">
        <v>81</v>
      </c>
      <c r="C135" s="540"/>
      <c r="D135" s="540"/>
      <c r="E135" s="540"/>
      <c r="F135" s="88">
        <v>3000</v>
      </c>
      <c r="G135" s="89">
        <v>3150</v>
      </c>
      <c r="H135" s="90">
        <v>3244.5</v>
      </c>
      <c r="I135" s="90"/>
      <c r="J135" s="103"/>
      <c r="K135" s="91">
        <v>5.0000000000000044E-2</v>
      </c>
      <c r="L135" s="103">
        <v>3.0000000000000027E-2</v>
      </c>
      <c r="M135" s="367">
        <v>2.0283975659229209E-2</v>
      </c>
      <c r="N135" s="367">
        <v>2.0352124051041837E-2</v>
      </c>
      <c r="O135" s="94">
        <v>2.017807955928512E-2</v>
      </c>
      <c r="P135" s="29"/>
      <c r="Q135" s="345">
        <v>0.68157894736842117</v>
      </c>
      <c r="R135" s="346">
        <v>0.74722222222222234</v>
      </c>
      <c r="S135" s="349">
        <v>0.75480555555555562</v>
      </c>
      <c r="T135" s="93">
        <v>9.6310596310596353E-2</v>
      </c>
      <c r="U135" s="92">
        <v>1.0148698884758334E-2</v>
      </c>
      <c r="V135" s="13"/>
      <c r="W135" s="375">
        <v>5.000000000000019E-2</v>
      </c>
      <c r="X135" s="376">
        <v>0.1</v>
      </c>
      <c r="Y135" s="377">
        <v>0.1</v>
      </c>
      <c r="AA135" s="366">
        <v>0.63157894736842102</v>
      </c>
      <c r="AB135" s="367">
        <v>0.64722222222222237</v>
      </c>
      <c r="AC135" s="94">
        <v>0.65480555555555564</v>
      </c>
      <c r="AE135" s="95">
        <v>20</v>
      </c>
      <c r="AF135" s="96">
        <v>20.6</v>
      </c>
      <c r="AG135" s="99">
        <v>21.630000000000003</v>
      </c>
      <c r="AH135" s="93">
        <v>0.03</v>
      </c>
      <c r="AI135" s="92">
        <v>0.05</v>
      </c>
      <c r="AK135" s="95">
        <v>24</v>
      </c>
      <c r="AL135" s="96">
        <v>24.720000000000002</v>
      </c>
      <c r="AM135" s="99">
        <v>25.956000000000003</v>
      </c>
      <c r="AN135" s="93">
        <v>0.03</v>
      </c>
      <c r="AO135" s="92">
        <v>0.05</v>
      </c>
      <c r="AQ135" s="95">
        <v>20</v>
      </c>
      <c r="AR135" s="96">
        <v>19.515789473684212</v>
      </c>
      <c r="AS135" s="99">
        <v>20.491578947368424</v>
      </c>
      <c r="AT135" s="91">
        <v>-2.421052631578946E-2</v>
      </c>
      <c r="AU135" s="92">
        <v>5.0000000000000044E-2</v>
      </c>
      <c r="AW135" s="88">
        <v>157.89473684210566</v>
      </c>
      <c r="AX135" s="89">
        <v>350.00000000000023</v>
      </c>
      <c r="AY135" s="90">
        <v>360.50000000000023</v>
      </c>
      <c r="BA135" s="88">
        <v>1894.7368421052631</v>
      </c>
      <c r="BB135" s="89">
        <v>2038.7500000000005</v>
      </c>
      <c r="BC135" s="90">
        <v>2124.5166250000002</v>
      </c>
      <c r="BE135" s="88">
        <v>1105.2631578947369</v>
      </c>
      <c r="BF135" s="89">
        <v>1111.2499999999995</v>
      </c>
      <c r="BG135" s="89">
        <v>1119.9833749999998</v>
      </c>
      <c r="BI135" s="100">
        <v>3157.8947368421059</v>
      </c>
      <c r="BJ135" s="101">
        <v>3500</v>
      </c>
      <c r="BK135" s="102">
        <v>3605</v>
      </c>
      <c r="BM135" s="88">
        <v>150</v>
      </c>
      <c r="BN135" s="89">
        <v>161.40776699029126</v>
      </c>
      <c r="BO135" s="89">
        <v>158.33333333333331</v>
      </c>
      <c r="BP135" s="91">
        <v>7.6051779935275121E-2</v>
      </c>
      <c r="BQ135" s="92">
        <v>-1.9047619047619202E-2</v>
      </c>
      <c r="BR135" s="367">
        <v>3.3076074972436607E-2</v>
      </c>
      <c r="BS135" s="367">
        <v>3.3484082719859018E-2</v>
      </c>
      <c r="BT135" s="94">
        <v>3.3256432038396941E-2</v>
      </c>
      <c r="BV135" s="88">
        <v>12</v>
      </c>
      <c r="BW135" s="285">
        <v>12</v>
      </c>
      <c r="BX135" s="92">
        <v>0</v>
      </c>
      <c r="BY135" s="88">
        <v>12</v>
      </c>
      <c r="BZ135" s="285">
        <v>3574.6271031320648</v>
      </c>
      <c r="CA135" s="92">
        <v>296.88559192767207</v>
      </c>
      <c r="CB135" s="285">
        <v>15</v>
      </c>
      <c r="CC135" s="282">
        <v>67.857142857142861</v>
      </c>
      <c r="CD135" s="103">
        <v>3.5238095238095237</v>
      </c>
      <c r="CF135" s="115">
        <v>3724.0348701223556</v>
      </c>
      <c r="CG135" s="102">
        <v>137944.45831411553</v>
      </c>
      <c r="CH135" s="252">
        <v>4.3202960518675546E-2</v>
      </c>
      <c r="CI135" s="115">
        <v>211.19047619047618</v>
      </c>
      <c r="CJ135" s="102">
        <v>78843.274097222195</v>
      </c>
      <c r="CK135" s="308">
        <v>0.7</v>
      </c>
      <c r="CM135" s="290">
        <v>12.5</v>
      </c>
      <c r="CN135" s="291">
        <v>9.0005323859477904E-2</v>
      </c>
      <c r="CO135" s="292">
        <v>3.8218390804597693</v>
      </c>
    </row>
    <row r="136" spans="2:93" outlineLevel="1" x14ac:dyDescent="0.25">
      <c r="B136" s="160" t="s">
        <v>76</v>
      </c>
      <c r="C136" s="23" t="s">
        <v>82</v>
      </c>
      <c r="D136" s="23" t="s">
        <v>31</v>
      </c>
      <c r="E136" s="198" t="s">
        <v>138</v>
      </c>
      <c r="F136" s="454">
        <v>1000</v>
      </c>
      <c r="G136" s="177">
        <v>1050</v>
      </c>
      <c r="H136" s="177">
        <v>1081.5</v>
      </c>
      <c r="I136" s="166"/>
      <c r="J136" s="182"/>
      <c r="K136" s="183">
        <v>0.05</v>
      </c>
      <c r="L136" s="184">
        <v>0.03</v>
      </c>
      <c r="M136" s="411">
        <v>6.7613252197430695E-3</v>
      </c>
      <c r="N136" s="411">
        <v>6.7840413503472783E-3</v>
      </c>
      <c r="O136" s="412">
        <v>6.7260265197617072E-3</v>
      </c>
      <c r="P136" s="29"/>
      <c r="Q136" s="461">
        <v>0.65</v>
      </c>
      <c r="R136" s="343">
        <v>0.68250000000000011</v>
      </c>
      <c r="S136" s="356">
        <v>0.68932500000000008</v>
      </c>
      <c r="T136" s="185">
        <v>0.05</v>
      </c>
      <c r="U136" s="186">
        <v>0.01</v>
      </c>
      <c r="V136" s="29"/>
      <c r="W136" s="467">
        <v>0.05</v>
      </c>
      <c r="X136" s="486">
        <v>0.1</v>
      </c>
      <c r="Y136" s="389">
        <v>0.1</v>
      </c>
      <c r="AA136" s="410">
        <v>0.63157894736842102</v>
      </c>
      <c r="AB136" s="411">
        <v>0.64722222222222237</v>
      </c>
      <c r="AC136" s="412">
        <v>0.65480555555555564</v>
      </c>
      <c r="AE136" s="187">
        <v>21.05263157894737</v>
      </c>
      <c r="AF136" s="62">
        <v>21.684210526315791</v>
      </c>
      <c r="AG136" s="69">
        <v>22.768421052631581</v>
      </c>
      <c r="AH136" s="185">
        <v>0.03</v>
      </c>
      <c r="AI136" s="186">
        <v>0.05</v>
      </c>
      <c r="AK136" s="187">
        <v>25.263157894736842</v>
      </c>
      <c r="AL136" s="62">
        <v>26.02105263157895</v>
      </c>
      <c r="AM136" s="69">
        <v>27.322105263157898</v>
      </c>
      <c r="AN136" s="420">
        <v>0.03</v>
      </c>
      <c r="AO136" s="443">
        <v>0.05</v>
      </c>
      <c r="AQ136" s="187">
        <v>20</v>
      </c>
      <c r="AR136" s="64">
        <v>19.515789473684212</v>
      </c>
      <c r="AS136" s="65">
        <v>20.491578947368424</v>
      </c>
      <c r="AT136" s="178">
        <v>-2.421052631578946E-2</v>
      </c>
      <c r="AU136" s="179">
        <v>5.0000000000000044E-2</v>
      </c>
      <c r="AW136" s="188">
        <v>52.631578947368553</v>
      </c>
      <c r="AX136" s="177">
        <v>116.66666666666674</v>
      </c>
      <c r="AY136" s="177">
        <v>120.16666666666674</v>
      </c>
      <c r="BA136" s="188">
        <v>631.57894736842104</v>
      </c>
      <c r="BB136" s="177">
        <v>679.58333333333348</v>
      </c>
      <c r="BC136" s="177">
        <v>708.1722083333334</v>
      </c>
      <c r="BE136" s="223">
        <v>368.42105263157896</v>
      </c>
      <c r="BF136" s="177">
        <v>370.41666666666652</v>
      </c>
      <c r="BG136" s="177">
        <v>373.3277916666666</v>
      </c>
      <c r="BI136" s="188">
        <v>1052.6315789473686</v>
      </c>
      <c r="BJ136" s="177">
        <v>1166.6666666666667</v>
      </c>
      <c r="BK136" s="189">
        <v>1201.6666666666667</v>
      </c>
      <c r="BM136" s="454">
        <v>50</v>
      </c>
      <c r="BN136" s="177">
        <v>53.802588996763753</v>
      </c>
      <c r="BO136" s="177">
        <v>52.777777777777771</v>
      </c>
      <c r="BP136" s="178">
        <v>7.6051779935275121E-2</v>
      </c>
      <c r="BQ136" s="179">
        <v>-1.9047619047619091E-2</v>
      </c>
      <c r="BR136" s="411">
        <v>1.1025358324145534E-2</v>
      </c>
      <c r="BS136" s="411">
        <v>1.1161360906619672E-2</v>
      </c>
      <c r="BT136" s="412">
        <v>1.1085477346132314E-2</v>
      </c>
      <c r="BV136" s="454">
        <v>4</v>
      </c>
      <c r="BW136" s="473">
        <v>4</v>
      </c>
      <c r="BX136" s="180">
        <v>0</v>
      </c>
      <c r="BY136" s="454">
        <v>4</v>
      </c>
      <c r="BZ136" s="188">
        <v>1191.5423677106883</v>
      </c>
      <c r="CA136" s="180">
        <v>296.88559192767207</v>
      </c>
      <c r="CB136" s="190">
        <v>5</v>
      </c>
      <c r="CC136" s="246">
        <v>22.61904761904762</v>
      </c>
      <c r="CD136" s="430">
        <v>3.5238095238095237</v>
      </c>
      <c r="CF136" s="490">
        <v>1241.344956707452</v>
      </c>
      <c r="CG136" s="481">
        <v>45981.486104705182</v>
      </c>
      <c r="CH136" s="178">
        <v>4.3202960518675546E-2</v>
      </c>
      <c r="CI136" s="246">
        <v>70.396825396825392</v>
      </c>
      <c r="CJ136" s="189">
        <v>26281.091365740733</v>
      </c>
      <c r="CK136" s="281">
        <v>0.7</v>
      </c>
      <c r="CM136" s="240">
        <v>12.5</v>
      </c>
      <c r="CN136" s="241">
        <v>9.000532385947789E-2</v>
      </c>
      <c r="CO136" s="242">
        <v>3.8218390804597693</v>
      </c>
    </row>
    <row r="137" spans="2:93" outlineLevel="1" x14ac:dyDescent="0.25">
      <c r="B137" s="15"/>
      <c r="C137" s="53"/>
      <c r="D137" s="53"/>
      <c r="E137" s="198" t="s">
        <v>140</v>
      </c>
      <c r="F137" s="454">
        <v>1000</v>
      </c>
      <c r="G137" s="177">
        <v>1050</v>
      </c>
      <c r="H137" s="177">
        <v>1081.5</v>
      </c>
      <c r="I137" s="181"/>
      <c r="J137" s="182"/>
      <c r="K137" s="183">
        <v>0.05</v>
      </c>
      <c r="L137" s="184">
        <v>0.03</v>
      </c>
      <c r="M137" s="411">
        <v>6.7613252197430695E-3</v>
      </c>
      <c r="N137" s="411">
        <v>6.7840413503472783E-3</v>
      </c>
      <c r="O137" s="412">
        <v>6.7260265197617072E-3</v>
      </c>
      <c r="P137" s="29"/>
      <c r="Q137" s="461">
        <v>0.65</v>
      </c>
      <c r="R137" s="343">
        <v>0.68250000000000011</v>
      </c>
      <c r="S137" s="356">
        <v>0.68932500000000008</v>
      </c>
      <c r="T137" s="185">
        <v>0.05</v>
      </c>
      <c r="U137" s="186">
        <v>0.01</v>
      </c>
      <c r="W137" s="467">
        <v>0.05</v>
      </c>
      <c r="X137" s="486">
        <v>0.1</v>
      </c>
      <c r="Y137" s="389">
        <v>0.1</v>
      </c>
      <c r="AA137" s="410">
        <v>0.63157894736842102</v>
      </c>
      <c r="AB137" s="411">
        <v>0.64722222222222237</v>
      </c>
      <c r="AC137" s="412">
        <v>0.65480555555555564</v>
      </c>
      <c r="AE137" s="187">
        <v>21.05263157894737</v>
      </c>
      <c r="AF137" s="62">
        <v>21.684210526315791</v>
      </c>
      <c r="AG137" s="69">
        <v>22.768421052631581</v>
      </c>
      <c r="AH137" s="185">
        <v>0.03</v>
      </c>
      <c r="AI137" s="186">
        <v>0.05</v>
      </c>
      <c r="AK137" s="187">
        <v>25.263157894736842</v>
      </c>
      <c r="AL137" s="62">
        <v>26.02105263157895</v>
      </c>
      <c r="AM137" s="69">
        <v>27.322105263157898</v>
      </c>
      <c r="AN137" s="420">
        <v>0.03</v>
      </c>
      <c r="AO137" s="443">
        <v>0.05</v>
      </c>
      <c r="AQ137" s="187">
        <v>20</v>
      </c>
      <c r="AR137" s="64">
        <v>19.515789473684212</v>
      </c>
      <c r="AS137" s="65">
        <v>20.491578947368424</v>
      </c>
      <c r="AT137" s="178">
        <v>-2.421052631578946E-2</v>
      </c>
      <c r="AU137" s="179">
        <v>5.0000000000000044E-2</v>
      </c>
      <c r="AW137" s="188">
        <v>52.631578947368553</v>
      </c>
      <c r="AX137" s="177">
        <v>116.66666666666674</v>
      </c>
      <c r="AY137" s="177">
        <v>120.16666666666674</v>
      </c>
      <c r="BA137" s="188">
        <v>631.57894736842104</v>
      </c>
      <c r="BB137" s="177">
        <v>679.58333333333348</v>
      </c>
      <c r="BC137" s="177">
        <v>708.1722083333334</v>
      </c>
      <c r="BE137" s="223">
        <v>368.42105263157896</v>
      </c>
      <c r="BF137" s="177">
        <v>370.41666666666652</v>
      </c>
      <c r="BG137" s="177">
        <v>373.3277916666666</v>
      </c>
      <c r="BI137" s="188">
        <v>1052.6315789473686</v>
      </c>
      <c r="BJ137" s="177">
        <v>1166.6666666666667</v>
      </c>
      <c r="BK137" s="189">
        <v>1201.6666666666667</v>
      </c>
      <c r="BM137" s="454">
        <v>50</v>
      </c>
      <c r="BN137" s="177">
        <v>53.802588996763753</v>
      </c>
      <c r="BO137" s="177">
        <v>52.777777777777771</v>
      </c>
      <c r="BP137" s="178">
        <v>7.6051779935275121E-2</v>
      </c>
      <c r="BQ137" s="179">
        <v>-1.9047619047619091E-2</v>
      </c>
      <c r="BR137" s="411">
        <v>1.1025358324145534E-2</v>
      </c>
      <c r="BS137" s="411">
        <v>1.1161360906619672E-2</v>
      </c>
      <c r="BT137" s="412">
        <v>1.1085477346132314E-2</v>
      </c>
      <c r="BV137" s="454">
        <v>4</v>
      </c>
      <c r="BW137" s="473">
        <v>4</v>
      </c>
      <c r="BX137" s="180">
        <v>0</v>
      </c>
      <c r="BY137" s="454">
        <v>4</v>
      </c>
      <c r="BZ137" s="188">
        <v>1191.5423677106883</v>
      </c>
      <c r="CA137" s="180">
        <v>296.88559192767207</v>
      </c>
      <c r="CB137" s="190">
        <v>5</v>
      </c>
      <c r="CC137" s="246">
        <v>22.61904761904762</v>
      </c>
      <c r="CD137" s="430">
        <v>3.5238095238095237</v>
      </c>
      <c r="CF137" s="490">
        <v>1241.344956707452</v>
      </c>
      <c r="CG137" s="481">
        <v>45981.486104705182</v>
      </c>
      <c r="CH137" s="178">
        <v>4.3202960518675546E-2</v>
      </c>
      <c r="CI137" s="246">
        <v>70.396825396825392</v>
      </c>
      <c r="CJ137" s="189">
        <v>26281.091365740733</v>
      </c>
      <c r="CK137" s="281">
        <v>0.7</v>
      </c>
      <c r="CM137" s="240">
        <v>12.5</v>
      </c>
      <c r="CN137" s="241">
        <v>9.000532385947789E-2</v>
      </c>
      <c r="CO137" s="242">
        <v>3.8218390804597693</v>
      </c>
    </row>
    <row r="138" spans="2:93" outlineLevel="1" x14ac:dyDescent="0.25">
      <c r="B138" s="199"/>
      <c r="C138" s="73"/>
      <c r="D138" s="73"/>
      <c r="E138" s="198" t="s">
        <v>143</v>
      </c>
      <c r="F138" s="454">
        <v>1000</v>
      </c>
      <c r="G138" s="177">
        <v>1050</v>
      </c>
      <c r="H138" s="177">
        <v>1081.5</v>
      </c>
      <c r="I138" s="195"/>
      <c r="J138" s="182"/>
      <c r="K138" s="183">
        <v>0.05</v>
      </c>
      <c r="L138" s="184">
        <v>0.03</v>
      </c>
      <c r="M138" s="411">
        <v>6.7613252197430695E-3</v>
      </c>
      <c r="N138" s="411">
        <v>6.7840413503472783E-3</v>
      </c>
      <c r="O138" s="412">
        <v>6.7260265197617072E-3</v>
      </c>
      <c r="P138" s="29"/>
      <c r="Q138" s="461">
        <v>0.65</v>
      </c>
      <c r="R138" s="343">
        <v>0.68250000000000011</v>
      </c>
      <c r="S138" s="356">
        <v>0.68932500000000008</v>
      </c>
      <c r="T138" s="185">
        <v>0.05</v>
      </c>
      <c r="U138" s="186">
        <v>0.01</v>
      </c>
      <c r="W138" s="467">
        <v>0.05</v>
      </c>
      <c r="X138" s="486">
        <v>0.1</v>
      </c>
      <c r="Y138" s="389">
        <v>0.1</v>
      </c>
      <c r="AA138" s="410">
        <v>0.63157894736842102</v>
      </c>
      <c r="AB138" s="411">
        <v>0.64722222222222237</v>
      </c>
      <c r="AC138" s="412">
        <v>0.65480555555555564</v>
      </c>
      <c r="AE138" s="187">
        <v>21.05263157894737</v>
      </c>
      <c r="AF138" s="62">
        <v>21.684210526315791</v>
      </c>
      <c r="AG138" s="69">
        <v>22.768421052631581</v>
      </c>
      <c r="AH138" s="185">
        <v>0.03</v>
      </c>
      <c r="AI138" s="186">
        <v>0.05</v>
      </c>
      <c r="AK138" s="187">
        <v>25.263157894736842</v>
      </c>
      <c r="AL138" s="62">
        <v>26.02105263157895</v>
      </c>
      <c r="AM138" s="69">
        <v>27.322105263157898</v>
      </c>
      <c r="AN138" s="420">
        <v>0.03</v>
      </c>
      <c r="AO138" s="443">
        <v>0.05</v>
      </c>
      <c r="AQ138" s="187">
        <v>20</v>
      </c>
      <c r="AR138" s="64">
        <v>19.515789473684212</v>
      </c>
      <c r="AS138" s="65">
        <v>20.491578947368424</v>
      </c>
      <c r="AT138" s="178">
        <v>-2.421052631578946E-2</v>
      </c>
      <c r="AU138" s="179">
        <v>5.0000000000000044E-2</v>
      </c>
      <c r="AW138" s="188">
        <v>52.631578947368553</v>
      </c>
      <c r="AX138" s="177">
        <v>116.66666666666674</v>
      </c>
      <c r="AY138" s="177">
        <v>120.16666666666674</v>
      </c>
      <c r="BA138" s="188">
        <v>631.57894736842104</v>
      </c>
      <c r="BB138" s="177">
        <v>679.58333333333348</v>
      </c>
      <c r="BC138" s="177">
        <v>708.1722083333334</v>
      </c>
      <c r="BE138" s="223">
        <v>368.42105263157896</v>
      </c>
      <c r="BF138" s="177">
        <v>370.41666666666652</v>
      </c>
      <c r="BG138" s="177">
        <v>373.3277916666666</v>
      </c>
      <c r="BI138" s="188">
        <v>1052.6315789473686</v>
      </c>
      <c r="BJ138" s="177">
        <v>1166.6666666666667</v>
      </c>
      <c r="BK138" s="189">
        <v>1201.6666666666667</v>
      </c>
      <c r="BM138" s="454">
        <v>50</v>
      </c>
      <c r="BN138" s="177">
        <v>53.802588996763753</v>
      </c>
      <c r="BO138" s="177">
        <v>52.777777777777771</v>
      </c>
      <c r="BP138" s="178">
        <v>7.6051779935275121E-2</v>
      </c>
      <c r="BQ138" s="179">
        <v>-1.9047619047619091E-2</v>
      </c>
      <c r="BR138" s="411">
        <v>1.1025358324145534E-2</v>
      </c>
      <c r="BS138" s="411">
        <v>1.1161360906619672E-2</v>
      </c>
      <c r="BT138" s="412">
        <v>1.1085477346132314E-2</v>
      </c>
      <c r="BV138" s="454">
        <v>4</v>
      </c>
      <c r="BW138" s="473">
        <v>4</v>
      </c>
      <c r="BX138" s="180">
        <v>0</v>
      </c>
      <c r="BY138" s="454">
        <v>4</v>
      </c>
      <c r="BZ138" s="188">
        <v>1191.5423677106883</v>
      </c>
      <c r="CA138" s="180">
        <v>296.88559192767207</v>
      </c>
      <c r="CB138" s="190">
        <v>5</v>
      </c>
      <c r="CC138" s="246">
        <v>22.61904761904762</v>
      </c>
      <c r="CD138" s="430">
        <v>3.5238095238095237</v>
      </c>
      <c r="CF138" s="490">
        <v>1241.344956707452</v>
      </c>
      <c r="CG138" s="481">
        <v>45981.486104705182</v>
      </c>
      <c r="CH138" s="178">
        <v>4.3202960518675546E-2</v>
      </c>
      <c r="CI138" s="246">
        <v>70.396825396825392</v>
      </c>
      <c r="CJ138" s="189">
        <v>26281.091365740733</v>
      </c>
      <c r="CK138" s="281">
        <v>0.7</v>
      </c>
      <c r="CM138" s="240">
        <v>12.5</v>
      </c>
      <c r="CN138" s="241">
        <v>9.000532385947789E-2</v>
      </c>
      <c r="CO138" s="242">
        <v>3.8218390804597693</v>
      </c>
    </row>
    <row r="139" spans="2:93" ht="13.5" customHeight="1" x14ac:dyDescent="0.25">
      <c r="B139" s="540" t="s">
        <v>83</v>
      </c>
      <c r="C139" s="540"/>
      <c r="D139" s="540"/>
      <c r="E139" s="540"/>
      <c r="F139" s="88">
        <v>3000</v>
      </c>
      <c r="G139" s="89">
        <v>3150</v>
      </c>
      <c r="H139" s="90">
        <v>3244.5</v>
      </c>
      <c r="I139" s="90"/>
      <c r="J139" s="103"/>
      <c r="K139" s="91">
        <v>5.0000000000000044E-2</v>
      </c>
      <c r="L139" s="103">
        <v>3.0000000000000027E-2</v>
      </c>
      <c r="M139" s="367">
        <v>2.0283975659229209E-2</v>
      </c>
      <c r="N139" s="367">
        <v>2.0352124051041837E-2</v>
      </c>
      <c r="O139" s="94">
        <v>2.017807955928512E-2</v>
      </c>
      <c r="P139" s="29"/>
      <c r="Q139" s="345">
        <v>0.68157894736842117</v>
      </c>
      <c r="R139" s="346">
        <v>0.74722222222222234</v>
      </c>
      <c r="S139" s="349">
        <v>0.75480555555555562</v>
      </c>
      <c r="T139" s="93">
        <v>9.6310596310596353E-2</v>
      </c>
      <c r="U139" s="92">
        <v>1.0148698884758334E-2</v>
      </c>
      <c r="V139" s="13"/>
      <c r="W139" s="375">
        <v>5.000000000000019E-2</v>
      </c>
      <c r="X139" s="376">
        <v>0.1</v>
      </c>
      <c r="Y139" s="377">
        <v>0.1</v>
      </c>
      <c r="AA139" s="366">
        <v>0.63157894736842102</v>
      </c>
      <c r="AB139" s="367">
        <v>0.64722222222222237</v>
      </c>
      <c r="AC139" s="94">
        <v>0.65480555555555564</v>
      </c>
      <c r="AE139" s="95">
        <v>20</v>
      </c>
      <c r="AF139" s="96">
        <v>20.6</v>
      </c>
      <c r="AG139" s="99">
        <v>21.630000000000003</v>
      </c>
      <c r="AH139" s="93">
        <v>0.03</v>
      </c>
      <c r="AI139" s="92">
        <v>0.05</v>
      </c>
      <c r="AK139" s="95">
        <v>24</v>
      </c>
      <c r="AL139" s="96">
        <v>24.720000000000002</v>
      </c>
      <c r="AM139" s="99">
        <v>25.956000000000003</v>
      </c>
      <c r="AN139" s="93">
        <v>0.03</v>
      </c>
      <c r="AO139" s="92">
        <v>0.05</v>
      </c>
      <c r="AQ139" s="95">
        <v>20</v>
      </c>
      <c r="AR139" s="96">
        <v>19.515789473684212</v>
      </c>
      <c r="AS139" s="99">
        <v>20.491578947368424</v>
      </c>
      <c r="AT139" s="91">
        <v>-2.421052631578946E-2</v>
      </c>
      <c r="AU139" s="92">
        <v>5.0000000000000044E-2</v>
      </c>
      <c r="AW139" s="88">
        <v>157.89473684210566</v>
      </c>
      <c r="AX139" s="89">
        <v>350.00000000000023</v>
      </c>
      <c r="AY139" s="90">
        <v>360.50000000000023</v>
      </c>
      <c r="BA139" s="88">
        <v>1894.7368421052631</v>
      </c>
      <c r="BB139" s="89">
        <v>2038.7500000000005</v>
      </c>
      <c r="BC139" s="90">
        <v>2124.5166250000002</v>
      </c>
      <c r="BE139" s="88">
        <v>1105.2631578947369</v>
      </c>
      <c r="BF139" s="89">
        <v>1111.2499999999995</v>
      </c>
      <c r="BG139" s="89">
        <v>1119.9833749999998</v>
      </c>
      <c r="BI139" s="100">
        <v>3157.8947368421059</v>
      </c>
      <c r="BJ139" s="101">
        <v>3500</v>
      </c>
      <c r="BK139" s="102">
        <v>3605</v>
      </c>
      <c r="BM139" s="88">
        <v>150</v>
      </c>
      <c r="BN139" s="89">
        <v>161.40776699029126</v>
      </c>
      <c r="BO139" s="89">
        <v>158.33333333333331</v>
      </c>
      <c r="BP139" s="91">
        <v>7.6051779935275121E-2</v>
      </c>
      <c r="BQ139" s="92">
        <v>-1.9047619047619202E-2</v>
      </c>
      <c r="BR139" s="367">
        <v>3.3076074972436607E-2</v>
      </c>
      <c r="BS139" s="367">
        <v>3.3484082719859018E-2</v>
      </c>
      <c r="BT139" s="94">
        <v>3.3256432038396941E-2</v>
      </c>
      <c r="BV139" s="88">
        <v>12</v>
      </c>
      <c r="BW139" s="285">
        <v>12</v>
      </c>
      <c r="BX139" s="92">
        <v>0</v>
      </c>
      <c r="BY139" s="88">
        <v>12</v>
      </c>
      <c r="BZ139" s="285">
        <v>3574.6271031320648</v>
      </c>
      <c r="CA139" s="92">
        <v>296.88559192767207</v>
      </c>
      <c r="CB139" s="285">
        <v>15</v>
      </c>
      <c r="CC139" s="282">
        <v>67.857142857142861</v>
      </c>
      <c r="CD139" s="103">
        <v>3.5238095238095237</v>
      </c>
      <c r="CF139" s="115">
        <v>3724.0348701223556</v>
      </c>
      <c r="CG139" s="102">
        <v>137944.45831411553</v>
      </c>
      <c r="CH139" s="252">
        <v>4.3202960518675546E-2</v>
      </c>
      <c r="CI139" s="115">
        <v>211.19047619047618</v>
      </c>
      <c r="CJ139" s="102">
        <v>78843.274097222195</v>
      </c>
      <c r="CK139" s="308">
        <v>0.7</v>
      </c>
      <c r="CM139" s="290">
        <v>12.5</v>
      </c>
      <c r="CN139" s="291">
        <v>9.0005323859477904E-2</v>
      </c>
      <c r="CO139" s="292">
        <v>3.8218390804597693</v>
      </c>
    </row>
    <row r="140" spans="2:93" outlineLevel="1" x14ac:dyDescent="0.25">
      <c r="B140" s="160" t="s">
        <v>76</v>
      </c>
      <c r="C140" s="23" t="s">
        <v>84</v>
      </c>
      <c r="D140" s="23" t="s">
        <v>85</v>
      </c>
      <c r="E140" s="198" t="s">
        <v>86</v>
      </c>
      <c r="F140" s="454">
        <v>1000</v>
      </c>
      <c r="G140" s="177">
        <v>1050</v>
      </c>
      <c r="H140" s="177">
        <v>1081.5</v>
      </c>
      <c r="I140" s="166"/>
      <c r="J140" s="182"/>
      <c r="K140" s="183">
        <v>0.05</v>
      </c>
      <c r="L140" s="184">
        <v>0.03</v>
      </c>
      <c r="M140" s="411">
        <v>6.7613252197430695E-3</v>
      </c>
      <c r="N140" s="411">
        <v>6.7840413503472783E-3</v>
      </c>
      <c r="O140" s="412">
        <v>6.7260265197617072E-3</v>
      </c>
      <c r="P140" s="29"/>
      <c r="Q140" s="461">
        <v>0.65</v>
      </c>
      <c r="R140" s="343">
        <v>0.68250000000000011</v>
      </c>
      <c r="S140" s="356">
        <v>0.68932500000000008</v>
      </c>
      <c r="T140" s="185">
        <v>0.05</v>
      </c>
      <c r="U140" s="186">
        <v>0.01</v>
      </c>
      <c r="V140" s="29"/>
      <c r="W140" s="467">
        <v>0.05</v>
      </c>
      <c r="X140" s="486">
        <v>0.1</v>
      </c>
      <c r="Y140" s="389">
        <v>0.1</v>
      </c>
      <c r="AA140" s="410">
        <v>0.63157894736842102</v>
      </c>
      <c r="AB140" s="411">
        <v>0.64722222222222237</v>
      </c>
      <c r="AC140" s="412">
        <v>0.65480555555555564</v>
      </c>
      <c r="AE140" s="187">
        <v>21.05263157894737</v>
      </c>
      <c r="AF140" s="62">
        <v>21.684210526315791</v>
      </c>
      <c r="AG140" s="69">
        <v>22.768421052631581</v>
      </c>
      <c r="AH140" s="185">
        <v>0.03</v>
      </c>
      <c r="AI140" s="186">
        <v>0.05</v>
      </c>
      <c r="AK140" s="187">
        <v>25.263157894736842</v>
      </c>
      <c r="AL140" s="62">
        <v>26.02105263157895</v>
      </c>
      <c r="AM140" s="69">
        <v>27.322105263157898</v>
      </c>
      <c r="AN140" s="420">
        <v>0.03</v>
      </c>
      <c r="AO140" s="443">
        <v>0.05</v>
      </c>
      <c r="AQ140" s="187">
        <v>20</v>
      </c>
      <c r="AR140" s="64">
        <v>19.515789473684212</v>
      </c>
      <c r="AS140" s="65">
        <v>20.491578947368424</v>
      </c>
      <c r="AT140" s="178">
        <v>-2.421052631578946E-2</v>
      </c>
      <c r="AU140" s="179">
        <v>5.0000000000000044E-2</v>
      </c>
      <c r="AW140" s="188">
        <v>52.631578947368553</v>
      </c>
      <c r="AX140" s="177">
        <v>116.66666666666674</v>
      </c>
      <c r="AY140" s="177">
        <v>120.16666666666674</v>
      </c>
      <c r="BA140" s="188">
        <v>631.57894736842104</v>
      </c>
      <c r="BB140" s="177">
        <v>679.58333333333348</v>
      </c>
      <c r="BC140" s="177">
        <v>708.1722083333334</v>
      </c>
      <c r="BE140" s="223">
        <v>368.42105263157896</v>
      </c>
      <c r="BF140" s="177">
        <v>370.41666666666652</v>
      </c>
      <c r="BG140" s="177">
        <v>373.3277916666666</v>
      </c>
      <c r="BI140" s="188">
        <v>1052.6315789473686</v>
      </c>
      <c r="BJ140" s="177">
        <v>1166.6666666666667</v>
      </c>
      <c r="BK140" s="189">
        <v>1201.6666666666667</v>
      </c>
      <c r="BM140" s="454">
        <v>50</v>
      </c>
      <c r="BN140" s="177">
        <v>53.802588996763753</v>
      </c>
      <c r="BO140" s="177">
        <v>52.777777777777771</v>
      </c>
      <c r="BP140" s="178">
        <v>7.6051779935275121E-2</v>
      </c>
      <c r="BQ140" s="179">
        <v>-1.9047619047619091E-2</v>
      </c>
      <c r="BR140" s="411">
        <v>1.1025358324145534E-2</v>
      </c>
      <c r="BS140" s="411">
        <v>1.1161360906619672E-2</v>
      </c>
      <c r="BT140" s="412">
        <v>1.1085477346132314E-2</v>
      </c>
      <c r="BV140" s="454">
        <v>4</v>
      </c>
      <c r="BW140" s="473">
        <v>4</v>
      </c>
      <c r="BX140" s="180">
        <v>0</v>
      </c>
      <c r="BY140" s="454">
        <v>4</v>
      </c>
      <c r="BZ140" s="188">
        <v>1191.5423677106883</v>
      </c>
      <c r="CA140" s="180">
        <v>296.88559192767207</v>
      </c>
      <c r="CB140" s="190">
        <v>5</v>
      </c>
      <c r="CC140" s="246">
        <v>22.61904761904762</v>
      </c>
      <c r="CD140" s="430">
        <v>3.5238095238095237</v>
      </c>
      <c r="CF140" s="490">
        <v>1241.344956707452</v>
      </c>
      <c r="CG140" s="481">
        <v>45981.486104705182</v>
      </c>
      <c r="CH140" s="178">
        <v>4.3202960518675546E-2</v>
      </c>
      <c r="CI140" s="246">
        <v>70.396825396825392</v>
      </c>
      <c r="CJ140" s="189">
        <v>26281.091365740733</v>
      </c>
      <c r="CK140" s="281">
        <v>0.7</v>
      </c>
      <c r="CM140" s="240">
        <v>12.5</v>
      </c>
      <c r="CN140" s="241">
        <v>9.000532385947789E-2</v>
      </c>
      <c r="CO140" s="242">
        <v>3.8218390804597693</v>
      </c>
    </row>
    <row r="141" spans="2:93" outlineLevel="1" x14ac:dyDescent="0.25">
      <c r="B141" s="15"/>
      <c r="C141" s="53"/>
      <c r="D141" s="53"/>
      <c r="E141" s="198" t="s">
        <v>87</v>
      </c>
      <c r="F141" s="454">
        <v>1000</v>
      </c>
      <c r="G141" s="177">
        <v>1050</v>
      </c>
      <c r="H141" s="177">
        <v>1081.5</v>
      </c>
      <c r="I141" s="181"/>
      <c r="J141" s="182"/>
      <c r="K141" s="183">
        <v>0.05</v>
      </c>
      <c r="L141" s="184">
        <v>0.03</v>
      </c>
      <c r="M141" s="411">
        <v>6.7613252197430695E-3</v>
      </c>
      <c r="N141" s="411">
        <v>6.7840413503472783E-3</v>
      </c>
      <c r="O141" s="412">
        <v>6.7260265197617072E-3</v>
      </c>
      <c r="P141" s="29"/>
      <c r="Q141" s="461">
        <v>0.65</v>
      </c>
      <c r="R141" s="343">
        <v>0.68250000000000011</v>
      </c>
      <c r="S141" s="356">
        <v>0.68932500000000008</v>
      </c>
      <c r="T141" s="185">
        <v>0.05</v>
      </c>
      <c r="U141" s="186">
        <v>0.01</v>
      </c>
      <c r="W141" s="467">
        <v>0.05</v>
      </c>
      <c r="X141" s="486">
        <v>0.1</v>
      </c>
      <c r="Y141" s="389">
        <v>0.1</v>
      </c>
      <c r="AA141" s="410">
        <v>0.63157894736842102</v>
      </c>
      <c r="AB141" s="411">
        <v>0.64722222222222237</v>
      </c>
      <c r="AC141" s="412">
        <v>0.65480555555555564</v>
      </c>
      <c r="AE141" s="187">
        <v>21.05263157894737</v>
      </c>
      <c r="AF141" s="62">
        <v>21.684210526315791</v>
      </c>
      <c r="AG141" s="69">
        <v>22.768421052631581</v>
      </c>
      <c r="AH141" s="185">
        <v>0.03</v>
      </c>
      <c r="AI141" s="186">
        <v>0.05</v>
      </c>
      <c r="AK141" s="187">
        <v>25.263157894736842</v>
      </c>
      <c r="AL141" s="62">
        <v>26.02105263157895</v>
      </c>
      <c r="AM141" s="69">
        <v>27.322105263157898</v>
      </c>
      <c r="AN141" s="420">
        <v>0.03</v>
      </c>
      <c r="AO141" s="443">
        <v>0.05</v>
      </c>
      <c r="AQ141" s="187">
        <v>20</v>
      </c>
      <c r="AR141" s="64">
        <v>19.515789473684212</v>
      </c>
      <c r="AS141" s="65">
        <v>20.491578947368424</v>
      </c>
      <c r="AT141" s="178">
        <v>-2.421052631578946E-2</v>
      </c>
      <c r="AU141" s="179">
        <v>5.0000000000000044E-2</v>
      </c>
      <c r="AW141" s="188">
        <v>52.631578947368553</v>
      </c>
      <c r="AX141" s="177">
        <v>116.66666666666674</v>
      </c>
      <c r="AY141" s="177">
        <v>120.16666666666674</v>
      </c>
      <c r="BA141" s="188">
        <v>631.57894736842104</v>
      </c>
      <c r="BB141" s="177">
        <v>679.58333333333348</v>
      </c>
      <c r="BC141" s="177">
        <v>708.1722083333334</v>
      </c>
      <c r="BE141" s="223">
        <v>368.42105263157896</v>
      </c>
      <c r="BF141" s="177">
        <v>370.41666666666652</v>
      </c>
      <c r="BG141" s="177">
        <v>373.3277916666666</v>
      </c>
      <c r="BI141" s="188">
        <v>1052.6315789473686</v>
      </c>
      <c r="BJ141" s="177">
        <v>1166.6666666666667</v>
      </c>
      <c r="BK141" s="189">
        <v>1201.6666666666667</v>
      </c>
      <c r="BM141" s="454">
        <v>50</v>
      </c>
      <c r="BN141" s="177">
        <v>53.802588996763753</v>
      </c>
      <c r="BO141" s="177">
        <v>52.777777777777771</v>
      </c>
      <c r="BP141" s="178">
        <v>7.6051779935275121E-2</v>
      </c>
      <c r="BQ141" s="179">
        <v>-1.9047619047619091E-2</v>
      </c>
      <c r="BR141" s="411">
        <v>1.1025358324145534E-2</v>
      </c>
      <c r="BS141" s="411">
        <v>1.1161360906619672E-2</v>
      </c>
      <c r="BT141" s="412">
        <v>1.1085477346132314E-2</v>
      </c>
      <c r="BV141" s="454">
        <v>4</v>
      </c>
      <c r="BW141" s="473">
        <v>4</v>
      </c>
      <c r="BX141" s="180">
        <v>0</v>
      </c>
      <c r="BY141" s="454">
        <v>4</v>
      </c>
      <c r="BZ141" s="188">
        <v>1191.5423677106883</v>
      </c>
      <c r="CA141" s="180">
        <v>296.88559192767207</v>
      </c>
      <c r="CB141" s="190">
        <v>5</v>
      </c>
      <c r="CC141" s="246">
        <v>22.61904761904762</v>
      </c>
      <c r="CD141" s="430">
        <v>3.5238095238095237</v>
      </c>
      <c r="CF141" s="490">
        <v>1241.344956707452</v>
      </c>
      <c r="CG141" s="481">
        <v>45981.486104705182</v>
      </c>
      <c r="CH141" s="178">
        <v>4.3202960518675546E-2</v>
      </c>
      <c r="CI141" s="246">
        <v>70.396825396825392</v>
      </c>
      <c r="CJ141" s="189">
        <v>26281.091365740733</v>
      </c>
      <c r="CK141" s="281">
        <v>0.7</v>
      </c>
      <c r="CM141" s="240">
        <v>12.5</v>
      </c>
      <c r="CN141" s="241">
        <v>9.000532385947789E-2</v>
      </c>
      <c r="CO141" s="242">
        <v>3.8218390804597693</v>
      </c>
    </row>
    <row r="142" spans="2:93" outlineLevel="1" x14ac:dyDescent="0.25">
      <c r="B142" s="199"/>
      <c r="C142" s="73"/>
      <c r="D142" s="73"/>
      <c r="E142" s="198" t="s">
        <v>88</v>
      </c>
      <c r="F142" s="454">
        <v>1000</v>
      </c>
      <c r="G142" s="177">
        <v>1050</v>
      </c>
      <c r="H142" s="177">
        <v>1081.5</v>
      </c>
      <c r="I142" s="195"/>
      <c r="J142" s="182"/>
      <c r="K142" s="183">
        <v>0.05</v>
      </c>
      <c r="L142" s="184">
        <v>0.03</v>
      </c>
      <c r="M142" s="411">
        <v>6.7613252197430695E-3</v>
      </c>
      <c r="N142" s="411">
        <v>6.7840413503472783E-3</v>
      </c>
      <c r="O142" s="412">
        <v>6.7260265197617072E-3</v>
      </c>
      <c r="P142" s="29"/>
      <c r="Q142" s="461">
        <v>0.65</v>
      </c>
      <c r="R142" s="343">
        <v>0.68250000000000011</v>
      </c>
      <c r="S142" s="356">
        <v>0.68932500000000008</v>
      </c>
      <c r="T142" s="185">
        <v>0.05</v>
      </c>
      <c r="U142" s="186">
        <v>0.01</v>
      </c>
      <c r="W142" s="467">
        <v>0.05</v>
      </c>
      <c r="X142" s="486">
        <v>0.1</v>
      </c>
      <c r="Y142" s="389">
        <v>0.1</v>
      </c>
      <c r="AA142" s="410">
        <v>0.63157894736842102</v>
      </c>
      <c r="AB142" s="411">
        <v>0.64722222222222237</v>
      </c>
      <c r="AC142" s="412">
        <v>0.65480555555555564</v>
      </c>
      <c r="AE142" s="187">
        <v>21.05263157894737</v>
      </c>
      <c r="AF142" s="62">
        <v>21.684210526315791</v>
      </c>
      <c r="AG142" s="69">
        <v>22.768421052631581</v>
      </c>
      <c r="AH142" s="185">
        <v>0.03</v>
      </c>
      <c r="AI142" s="186">
        <v>0.05</v>
      </c>
      <c r="AK142" s="187">
        <v>25.263157894736842</v>
      </c>
      <c r="AL142" s="62">
        <v>26.02105263157895</v>
      </c>
      <c r="AM142" s="69">
        <v>27.322105263157898</v>
      </c>
      <c r="AN142" s="420">
        <v>0.03</v>
      </c>
      <c r="AO142" s="443">
        <v>0.05</v>
      </c>
      <c r="AQ142" s="187">
        <v>20</v>
      </c>
      <c r="AR142" s="64">
        <v>19.515789473684212</v>
      </c>
      <c r="AS142" s="65">
        <v>20.491578947368424</v>
      </c>
      <c r="AT142" s="178">
        <v>-2.421052631578946E-2</v>
      </c>
      <c r="AU142" s="179">
        <v>5.0000000000000044E-2</v>
      </c>
      <c r="AW142" s="188">
        <v>52.631578947368553</v>
      </c>
      <c r="AX142" s="177">
        <v>116.66666666666674</v>
      </c>
      <c r="AY142" s="177">
        <v>120.16666666666674</v>
      </c>
      <c r="BA142" s="188">
        <v>631.57894736842104</v>
      </c>
      <c r="BB142" s="177">
        <v>679.58333333333348</v>
      </c>
      <c r="BC142" s="177">
        <v>708.1722083333334</v>
      </c>
      <c r="BE142" s="223">
        <v>368.42105263157896</v>
      </c>
      <c r="BF142" s="177">
        <v>370.41666666666652</v>
      </c>
      <c r="BG142" s="177">
        <v>373.3277916666666</v>
      </c>
      <c r="BI142" s="188">
        <v>1052.6315789473686</v>
      </c>
      <c r="BJ142" s="177">
        <v>1166.6666666666667</v>
      </c>
      <c r="BK142" s="189">
        <v>1201.6666666666667</v>
      </c>
      <c r="BM142" s="454">
        <v>50</v>
      </c>
      <c r="BN142" s="177">
        <v>53.802588996763753</v>
      </c>
      <c r="BO142" s="177">
        <v>52.777777777777771</v>
      </c>
      <c r="BP142" s="178">
        <v>7.6051779935275121E-2</v>
      </c>
      <c r="BQ142" s="179">
        <v>-1.9047619047619091E-2</v>
      </c>
      <c r="BR142" s="411">
        <v>1.1025358324145534E-2</v>
      </c>
      <c r="BS142" s="411">
        <v>1.1161360906619672E-2</v>
      </c>
      <c r="BT142" s="412">
        <v>1.1085477346132314E-2</v>
      </c>
      <c r="BV142" s="454">
        <v>4</v>
      </c>
      <c r="BW142" s="473">
        <v>4</v>
      </c>
      <c r="BX142" s="180">
        <v>0</v>
      </c>
      <c r="BY142" s="454">
        <v>4</v>
      </c>
      <c r="BZ142" s="188">
        <v>1191.5423677106883</v>
      </c>
      <c r="CA142" s="180">
        <v>296.88559192767207</v>
      </c>
      <c r="CB142" s="190">
        <v>5</v>
      </c>
      <c r="CC142" s="246">
        <v>22.61904761904762</v>
      </c>
      <c r="CD142" s="430">
        <v>3.5238095238095237</v>
      </c>
      <c r="CF142" s="490">
        <v>1241.344956707452</v>
      </c>
      <c r="CG142" s="481">
        <v>45981.486104705182</v>
      </c>
      <c r="CH142" s="178">
        <v>4.3202960518675546E-2</v>
      </c>
      <c r="CI142" s="246">
        <v>70.396825396825392</v>
      </c>
      <c r="CJ142" s="189">
        <v>26281.091365740733</v>
      </c>
      <c r="CK142" s="281">
        <v>0.7</v>
      </c>
      <c r="CM142" s="240">
        <v>12.5</v>
      </c>
      <c r="CN142" s="241">
        <v>9.000532385947789E-2</v>
      </c>
      <c r="CO142" s="242">
        <v>3.8218390804597693</v>
      </c>
    </row>
    <row r="143" spans="2:93" ht="13.5" customHeight="1" x14ac:dyDescent="0.25">
      <c r="B143" s="540" t="s">
        <v>89</v>
      </c>
      <c r="C143" s="540"/>
      <c r="D143" s="540"/>
      <c r="E143" s="540"/>
      <c r="F143" s="88">
        <v>3000</v>
      </c>
      <c r="G143" s="89">
        <v>3150</v>
      </c>
      <c r="H143" s="90">
        <v>3244.5</v>
      </c>
      <c r="I143" s="90"/>
      <c r="J143" s="103"/>
      <c r="K143" s="91">
        <v>5.0000000000000044E-2</v>
      </c>
      <c r="L143" s="103">
        <v>3.0000000000000027E-2</v>
      </c>
      <c r="M143" s="367">
        <v>2.0283975659229209E-2</v>
      </c>
      <c r="N143" s="367">
        <v>2.0352124051041837E-2</v>
      </c>
      <c r="O143" s="94">
        <v>2.017807955928512E-2</v>
      </c>
      <c r="P143" s="29"/>
      <c r="Q143" s="345">
        <v>0.68157894736842117</v>
      </c>
      <c r="R143" s="346">
        <v>0.74722222222222234</v>
      </c>
      <c r="S143" s="349">
        <v>0.75480555555555562</v>
      </c>
      <c r="T143" s="93">
        <v>9.6310596310596353E-2</v>
      </c>
      <c r="U143" s="92">
        <v>1.0148698884758334E-2</v>
      </c>
      <c r="V143" s="13"/>
      <c r="W143" s="375">
        <v>5.000000000000019E-2</v>
      </c>
      <c r="X143" s="376">
        <v>0.1</v>
      </c>
      <c r="Y143" s="377">
        <v>0.1</v>
      </c>
      <c r="AA143" s="366">
        <v>0.63157894736842102</v>
      </c>
      <c r="AB143" s="367">
        <v>0.64722222222222237</v>
      </c>
      <c r="AC143" s="94">
        <v>0.65480555555555564</v>
      </c>
      <c r="AE143" s="95">
        <v>20</v>
      </c>
      <c r="AF143" s="96">
        <v>20.6</v>
      </c>
      <c r="AG143" s="99">
        <v>21.630000000000003</v>
      </c>
      <c r="AH143" s="93">
        <v>0.03</v>
      </c>
      <c r="AI143" s="92">
        <v>0.05</v>
      </c>
      <c r="AK143" s="95">
        <v>24</v>
      </c>
      <c r="AL143" s="96">
        <v>24.720000000000002</v>
      </c>
      <c r="AM143" s="99">
        <v>25.956000000000003</v>
      </c>
      <c r="AN143" s="93">
        <v>0.03</v>
      </c>
      <c r="AO143" s="92">
        <v>0.05</v>
      </c>
      <c r="AQ143" s="95">
        <v>20</v>
      </c>
      <c r="AR143" s="96">
        <v>19.515789473684212</v>
      </c>
      <c r="AS143" s="99">
        <v>20.491578947368424</v>
      </c>
      <c r="AT143" s="91">
        <v>-2.421052631578946E-2</v>
      </c>
      <c r="AU143" s="92">
        <v>5.0000000000000044E-2</v>
      </c>
      <c r="AW143" s="88">
        <v>157.89473684210566</v>
      </c>
      <c r="AX143" s="89">
        <v>350.00000000000023</v>
      </c>
      <c r="AY143" s="90">
        <v>360.50000000000023</v>
      </c>
      <c r="BA143" s="88">
        <v>1894.7368421052631</v>
      </c>
      <c r="BB143" s="89">
        <v>2038.7500000000005</v>
      </c>
      <c r="BC143" s="90">
        <v>2124.5166250000002</v>
      </c>
      <c r="BE143" s="88">
        <v>1105.2631578947369</v>
      </c>
      <c r="BF143" s="89">
        <v>1111.2499999999995</v>
      </c>
      <c r="BG143" s="89">
        <v>1119.9833749999998</v>
      </c>
      <c r="BI143" s="100">
        <v>3157.8947368421059</v>
      </c>
      <c r="BJ143" s="101">
        <v>3500</v>
      </c>
      <c r="BK143" s="102">
        <v>3605</v>
      </c>
      <c r="BM143" s="88">
        <v>150</v>
      </c>
      <c r="BN143" s="89">
        <v>161.40776699029126</v>
      </c>
      <c r="BO143" s="89">
        <v>158.33333333333331</v>
      </c>
      <c r="BP143" s="91">
        <v>7.6051779935275121E-2</v>
      </c>
      <c r="BQ143" s="92">
        <v>-1.9047619047619202E-2</v>
      </c>
      <c r="BR143" s="367">
        <v>3.3076074972436607E-2</v>
      </c>
      <c r="BS143" s="367">
        <v>3.3484082719859018E-2</v>
      </c>
      <c r="BT143" s="94">
        <v>3.3256432038396941E-2</v>
      </c>
      <c r="BV143" s="88">
        <v>12</v>
      </c>
      <c r="BW143" s="285">
        <v>12</v>
      </c>
      <c r="BX143" s="92">
        <v>0</v>
      </c>
      <c r="BY143" s="88">
        <v>12</v>
      </c>
      <c r="BZ143" s="285">
        <v>3574.6271031320648</v>
      </c>
      <c r="CA143" s="92">
        <v>296.88559192767207</v>
      </c>
      <c r="CB143" s="285">
        <v>15</v>
      </c>
      <c r="CC143" s="282">
        <v>67.857142857142861</v>
      </c>
      <c r="CD143" s="103">
        <v>3.5238095238095237</v>
      </c>
      <c r="CF143" s="115">
        <v>3724.0348701223556</v>
      </c>
      <c r="CG143" s="102">
        <v>137944.45831411553</v>
      </c>
      <c r="CH143" s="252">
        <v>4.3202960518675546E-2</v>
      </c>
      <c r="CI143" s="115">
        <v>211.19047619047618</v>
      </c>
      <c r="CJ143" s="102">
        <v>78843.274097222195</v>
      </c>
      <c r="CK143" s="308">
        <v>0.7</v>
      </c>
      <c r="CM143" s="290">
        <v>12.5</v>
      </c>
      <c r="CN143" s="291">
        <v>9.0005323859477904E-2</v>
      </c>
      <c r="CO143" s="292">
        <v>3.8218390804597693</v>
      </c>
    </row>
    <row r="144" spans="2:93" outlineLevel="1" x14ac:dyDescent="0.25">
      <c r="B144" s="160" t="s">
        <v>76</v>
      </c>
      <c r="C144" s="23" t="s">
        <v>90</v>
      </c>
      <c r="D144" s="23" t="s">
        <v>85</v>
      </c>
      <c r="E144" s="198" t="s">
        <v>91</v>
      </c>
      <c r="F144" s="454">
        <v>1000</v>
      </c>
      <c r="G144" s="177">
        <v>1050</v>
      </c>
      <c r="H144" s="177">
        <v>1081.5</v>
      </c>
      <c r="I144" s="166"/>
      <c r="J144" s="182"/>
      <c r="K144" s="183">
        <v>0.05</v>
      </c>
      <c r="L144" s="184">
        <v>0.03</v>
      </c>
      <c r="M144" s="411">
        <v>6.7613252197430695E-3</v>
      </c>
      <c r="N144" s="411">
        <v>6.7840413503472783E-3</v>
      </c>
      <c r="O144" s="412">
        <v>6.7260265197617072E-3</v>
      </c>
      <c r="P144" s="29"/>
      <c r="Q144" s="461">
        <v>0.65</v>
      </c>
      <c r="R144" s="343">
        <v>0.68250000000000011</v>
      </c>
      <c r="S144" s="356">
        <v>0.68932500000000008</v>
      </c>
      <c r="T144" s="185">
        <v>0.05</v>
      </c>
      <c r="U144" s="186">
        <v>0.01</v>
      </c>
      <c r="V144" s="29"/>
      <c r="W144" s="467">
        <v>0.05</v>
      </c>
      <c r="X144" s="486">
        <v>0.1</v>
      </c>
      <c r="Y144" s="389">
        <v>0.1</v>
      </c>
      <c r="AA144" s="410">
        <v>0.63157894736842102</v>
      </c>
      <c r="AB144" s="411">
        <v>0.64722222222222237</v>
      </c>
      <c r="AC144" s="412">
        <v>0.65480555555555564</v>
      </c>
      <c r="AE144" s="187">
        <v>21.05263157894737</v>
      </c>
      <c r="AF144" s="62">
        <v>21.684210526315791</v>
      </c>
      <c r="AG144" s="69">
        <v>22.768421052631581</v>
      </c>
      <c r="AH144" s="185">
        <v>0.03</v>
      </c>
      <c r="AI144" s="186">
        <v>0.05</v>
      </c>
      <c r="AK144" s="187">
        <v>25.263157894736842</v>
      </c>
      <c r="AL144" s="62">
        <v>26.02105263157895</v>
      </c>
      <c r="AM144" s="69">
        <v>27.322105263157898</v>
      </c>
      <c r="AN144" s="420">
        <v>0.03</v>
      </c>
      <c r="AO144" s="443">
        <v>0.05</v>
      </c>
      <c r="AQ144" s="187">
        <v>20</v>
      </c>
      <c r="AR144" s="64">
        <v>19.515789473684212</v>
      </c>
      <c r="AS144" s="65">
        <v>20.491578947368424</v>
      </c>
      <c r="AT144" s="178">
        <v>-2.421052631578946E-2</v>
      </c>
      <c r="AU144" s="179">
        <v>5.0000000000000044E-2</v>
      </c>
      <c r="AW144" s="188">
        <v>52.631578947368553</v>
      </c>
      <c r="AX144" s="177">
        <v>116.66666666666674</v>
      </c>
      <c r="AY144" s="177">
        <v>120.16666666666674</v>
      </c>
      <c r="BA144" s="188">
        <v>631.57894736842104</v>
      </c>
      <c r="BB144" s="177">
        <v>679.58333333333348</v>
      </c>
      <c r="BC144" s="177">
        <v>708.1722083333334</v>
      </c>
      <c r="BE144" s="223">
        <v>368.42105263157896</v>
      </c>
      <c r="BF144" s="177">
        <v>370.41666666666652</v>
      </c>
      <c r="BG144" s="177">
        <v>373.3277916666666</v>
      </c>
      <c r="BI144" s="188">
        <v>1052.6315789473686</v>
      </c>
      <c r="BJ144" s="177">
        <v>1166.6666666666667</v>
      </c>
      <c r="BK144" s="189">
        <v>1201.6666666666667</v>
      </c>
      <c r="BM144" s="454">
        <v>50</v>
      </c>
      <c r="BN144" s="177">
        <v>53.802588996763753</v>
      </c>
      <c r="BO144" s="177">
        <v>52.777777777777771</v>
      </c>
      <c r="BP144" s="178">
        <v>7.6051779935275121E-2</v>
      </c>
      <c r="BQ144" s="179">
        <v>-1.9047619047619091E-2</v>
      </c>
      <c r="BR144" s="411">
        <v>1.1025358324145534E-2</v>
      </c>
      <c r="BS144" s="411">
        <v>1.1161360906619672E-2</v>
      </c>
      <c r="BT144" s="412">
        <v>1.1085477346132314E-2</v>
      </c>
      <c r="BV144" s="454">
        <v>4</v>
      </c>
      <c r="BW144" s="473">
        <v>4</v>
      </c>
      <c r="BX144" s="180">
        <v>0</v>
      </c>
      <c r="BY144" s="454">
        <v>4</v>
      </c>
      <c r="BZ144" s="188">
        <v>1191.5423677106883</v>
      </c>
      <c r="CA144" s="180">
        <v>296.88559192767207</v>
      </c>
      <c r="CB144" s="190">
        <v>5</v>
      </c>
      <c r="CC144" s="246">
        <v>22.61904761904762</v>
      </c>
      <c r="CD144" s="430">
        <v>3.5238095238095237</v>
      </c>
      <c r="CF144" s="490">
        <v>1241.344956707452</v>
      </c>
      <c r="CG144" s="481">
        <v>45981.486104705182</v>
      </c>
      <c r="CH144" s="178">
        <v>4.3202960518675546E-2</v>
      </c>
      <c r="CI144" s="246">
        <v>70.396825396825392</v>
      </c>
      <c r="CJ144" s="189">
        <v>26281.091365740733</v>
      </c>
      <c r="CK144" s="281">
        <v>0.7</v>
      </c>
      <c r="CM144" s="240">
        <v>12.5</v>
      </c>
      <c r="CN144" s="241">
        <v>9.000532385947789E-2</v>
      </c>
      <c r="CO144" s="242">
        <v>3.8218390804597693</v>
      </c>
    </row>
    <row r="145" spans="2:93" outlineLevel="1" x14ac:dyDescent="0.25">
      <c r="B145" s="15"/>
      <c r="C145" s="53"/>
      <c r="D145" s="53"/>
      <c r="E145" s="198" t="s">
        <v>92</v>
      </c>
      <c r="F145" s="454">
        <v>1000</v>
      </c>
      <c r="G145" s="177">
        <v>1050</v>
      </c>
      <c r="H145" s="177">
        <v>1081.5</v>
      </c>
      <c r="I145" s="181"/>
      <c r="J145" s="182"/>
      <c r="K145" s="183">
        <v>0.05</v>
      </c>
      <c r="L145" s="184">
        <v>0.03</v>
      </c>
      <c r="M145" s="411">
        <v>6.7613252197430695E-3</v>
      </c>
      <c r="N145" s="411">
        <v>6.7840413503472783E-3</v>
      </c>
      <c r="O145" s="412">
        <v>6.7260265197617072E-3</v>
      </c>
      <c r="P145" s="29"/>
      <c r="Q145" s="461">
        <v>0.65</v>
      </c>
      <c r="R145" s="343">
        <v>0.68250000000000011</v>
      </c>
      <c r="S145" s="356">
        <v>0.68932500000000008</v>
      </c>
      <c r="T145" s="185">
        <v>0.05</v>
      </c>
      <c r="U145" s="186">
        <v>0.01</v>
      </c>
      <c r="W145" s="467">
        <v>0.05</v>
      </c>
      <c r="X145" s="486">
        <v>0.1</v>
      </c>
      <c r="Y145" s="389">
        <v>0.1</v>
      </c>
      <c r="AA145" s="410">
        <v>0.63157894736842102</v>
      </c>
      <c r="AB145" s="411">
        <v>0.64722222222222237</v>
      </c>
      <c r="AC145" s="412">
        <v>0.65480555555555564</v>
      </c>
      <c r="AE145" s="187">
        <v>21.05263157894737</v>
      </c>
      <c r="AF145" s="62">
        <v>21.684210526315791</v>
      </c>
      <c r="AG145" s="69">
        <v>22.768421052631581</v>
      </c>
      <c r="AH145" s="185">
        <v>0.03</v>
      </c>
      <c r="AI145" s="186">
        <v>0.05</v>
      </c>
      <c r="AK145" s="187">
        <v>25.263157894736842</v>
      </c>
      <c r="AL145" s="62">
        <v>26.02105263157895</v>
      </c>
      <c r="AM145" s="69">
        <v>27.322105263157898</v>
      </c>
      <c r="AN145" s="420">
        <v>0.03</v>
      </c>
      <c r="AO145" s="443">
        <v>0.05</v>
      </c>
      <c r="AQ145" s="187">
        <v>20</v>
      </c>
      <c r="AR145" s="64">
        <v>19.515789473684212</v>
      </c>
      <c r="AS145" s="65">
        <v>20.491578947368424</v>
      </c>
      <c r="AT145" s="178">
        <v>-2.421052631578946E-2</v>
      </c>
      <c r="AU145" s="179">
        <v>5.0000000000000044E-2</v>
      </c>
      <c r="AW145" s="188">
        <v>52.631578947368553</v>
      </c>
      <c r="AX145" s="177">
        <v>116.66666666666674</v>
      </c>
      <c r="AY145" s="177">
        <v>120.16666666666674</v>
      </c>
      <c r="BA145" s="188">
        <v>631.57894736842104</v>
      </c>
      <c r="BB145" s="177">
        <v>679.58333333333348</v>
      </c>
      <c r="BC145" s="177">
        <v>708.1722083333334</v>
      </c>
      <c r="BE145" s="223">
        <v>368.42105263157896</v>
      </c>
      <c r="BF145" s="177">
        <v>370.41666666666652</v>
      </c>
      <c r="BG145" s="177">
        <v>373.3277916666666</v>
      </c>
      <c r="BI145" s="188">
        <v>1052.6315789473686</v>
      </c>
      <c r="BJ145" s="177">
        <v>1166.6666666666667</v>
      </c>
      <c r="BK145" s="189">
        <v>1201.6666666666667</v>
      </c>
      <c r="BM145" s="454">
        <v>50</v>
      </c>
      <c r="BN145" s="177">
        <v>53.802588996763753</v>
      </c>
      <c r="BO145" s="177">
        <v>52.777777777777771</v>
      </c>
      <c r="BP145" s="178">
        <v>7.6051779935275121E-2</v>
      </c>
      <c r="BQ145" s="179">
        <v>-1.9047619047619091E-2</v>
      </c>
      <c r="BR145" s="411">
        <v>1.1025358324145534E-2</v>
      </c>
      <c r="BS145" s="411">
        <v>1.1161360906619672E-2</v>
      </c>
      <c r="BT145" s="412">
        <v>1.1085477346132314E-2</v>
      </c>
      <c r="BV145" s="454">
        <v>4</v>
      </c>
      <c r="BW145" s="473">
        <v>4</v>
      </c>
      <c r="BX145" s="180">
        <v>0</v>
      </c>
      <c r="BY145" s="454">
        <v>4</v>
      </c>
      <c r="BZ145" s="188">
        <v>1191.5423677106883</v>
      </c>
      <c r="CA145" s="180">
        <v>296.88559192767207</v>
      </c>
      <c r="CB145" s="190">
        <v>5</v>
      </c>
      <c r="CC145" s="246">
        <v>22.61904761904762</v>
      </c>
      <c r="CD145" s="430">
        <v>3.5238095238095237</v>
      </c>
      <c r="CF145" s="490">
        <v>1241.344956707452</v>
      </c>
      <c r="CG145" s="481">
        <v>45981.486104705182</v>
      </c>
      <c r="CH145" s="178">
        <v>4.3202960518675546E-2</v>
      </c>
      <c r="CI145" s="246">
        <v>70.396825396825392</v>
      </c>
      <c r="CJ145" s="189">
        <v>26281.091365740733</v>
      </c>
      <c r="CK145" s="281">
        <v>0.7</v>
      </c>
      <c r="CM145" s="240">
        <v>12.5</v>
      </c>
      <c r="CN145" s="241">
        <v>9.000532385947789E-2</v>
      </c>
      <c r="CO145" s="242">
        <v>3.8218390804597693</v>
      </c>
    </row>
    <row r="146" spans="2:93" outlineLevel="1" x14ac:dyDescent="0.25">
      <c r="B146" s="199"/>
      <c r="C146" s="73"/>
      <c r="D146" s="73"/>
      <c r="E146" s="198" t="s">
        <v>93</v>
      </c>
      <c r="F146" s="454">
        <v>1000</v>
      </c>
      <c r="G146" s="177">
        <v>1050</v>
      </c>
      <c r="H146" s="177">
        <v>1081.5</v>
      </c>
      <c r="I146" s="195"/>
      <c r="J146" s="182"/>
      <c r="K146" s="183">
        <v>0.05</v>
      </c>
      <c r="L146" s="184">
        <v>0.03</v>
      </c>
      <c r="M146" s="411">
        <v>6.7613252197430695E-3</v>
      </c>
      <c r="N146" s="411">
        <v>6.7840413503472783E-3</v>
      </c>
      <c r="O146" s="412">
        <v>6.7260265197617072E-3</v>
      </c>
      <c r="P146" s="29"/>
      <c r="Q146" s="461">
        <v>0.65</v>
      </c>
      <c r="R146" s="343">
        <v>0.68250000000000011</v>
      </c>
      <c r="S146" s="356">
        <v>0.68932500000000008</v>
      </c>
      <c r="T146" s="185">
        <v>0.05</v>
      </c>
      <c r="U146" s="186">
        <v>0.01</v>
      </c>
      <c r="W146" s="467">
        <v>0.05</v>
      </c>
      <c r="X146" s="486">
        <v>0.1</v>
      </c>
      <c r="Y146" s="389">
        <v>0.1</v>
      </c>
      <c r="AA146" s="410">
        <v>0.63157894736842102</v>
      </c>
      <c r="AB146" s="411">
        <v>0.64722222222222237</v>
      </c>
      <c r="AC146" s="412">
        <v>0.65480555555555564</v>
      </c>
      <c r="AE146" s="187">
        <v>21.05263157894737</v>
      </c>
      <c r="AF146" s="62">
        <v>21.684210526315791</v>
      </c>
      <c r="AG146" s="69">
        <v>22.768421052631581</v>
      </c>
      <c r="AH146" s="185">
        <v>0.03</v>
      </c>
      <c r="AI146" s="186">
        <v>0.05</v>
      </c>
      <c r="AK146" s="187">
        <v>25.263157894736842</v>
      </c>
      <c r="AL146" s="62">
        <v>26.02105263157895</v>
      </c>
      <c r="AM146" s="69">
        <v>27.322105263157898</v>
      </c>
      <c r="AN146" s="420">
        <v>0.03</v>
      </c>
      <c r="AO146" s="443">
        <v>0.05</v>
      </c>
      <c r="AQ146" s="187">
        <v>20</v>
      </c>
      <c r="AR146" s="64">
        <v>19.515789473684212</v>
      </c>
      <c r="AS146" s="65">
        <v>20.491578947368424</v>
      </c>
      <c r="AT146" s="178">
        <v>-2.421052631578946E-2</v>
      </c>
      <c r="AU146" s="179">
        <v>5.0000000000000044E-2</v>
      </c>
      <c r="AW146" s="188">
        <v>52.631578947368553</v>
      </c>
      <c r="AX146" s="177">
        <v>116.66666666666674</v>
      </c>
      <c r="AY146" s="177">
        <v>120.16666666666674</v>
      </c>
      <c r="BA146" s="188">
        <v>631.57894736842104</v>
      </c>
      <c r="BB146" s="177">
        <v>679.58333333333348</v>
      </c>
      <c r="BC146" s="177">
        <v>708.1722083333334</v>
      </c>
      <c r="BE146" s="223">
        <v>368.42105263157896</v>
      </c>
      <c r="BF146" s="177">
        <v>370.41666666666652</v>
      </c>
      <c r="BG146" s="177">
        <v>373.3277916666666</v>
      </c>
      <c r="BI146" s="188">
        <v>1052.6315789473686</v>
      </c>
      <c r="BJ146" s="177">
        <v>1166.6666666666667</v>
      </c>
      <c r="BK146" s="189">
        <v>1201.6666666666667</v>
      </c>
      <c r="BM146" s="454">
        <v>50</v>
      </c>
      <c r="BN146" s="177">
        <v>53.802588996763753</v>
      </c>
      <c r="BO146" s="177">
        <v>52.777777777777771</v>
      </c>
      <c r="BP146" s="178">
        <v>7.6051779935275121E-2</v>
      </c>
      <c r="BQ146" s="179">
        <v>-1.9047619047619091E-2</v>
      </c>
      <c r="BR146" s="411">
        <v>1.1025358324145534E-2</v>
      </c>
      <c r="BS146" s="411">
        <v>1.1161360906619672E-2</v>
      </c>
      <c r="BT146" s="412">
        <v>1.1085477346132314E-2</v>
      </c>
      <c r="BV146" s="454">
        <v>4</v>
      </c>
      <c r="BW146" s="473">
        <v>4</v>
      </c>
      <c r="BX146" s="180">
        <v>0</v>
      </c>
      <c r="BY146" s="454">
        <v>4</v>
      </c>
      <c r="BZ146" s="188">
        <v>1191.5423677106883</v>
      </c>
      <c r="CA146" s="180">
        <v>296.88559192767207</v>
      </c>
      <c r="CB146" s="190">
        <v>5</v>
      </c>
      <c r="CC146" s="246">
        <v>22.61904761904762</v>
      </c>
      <c r="CD146" s="430">
        <v>3.5238095238095237</v>
      </c>
      <c r="CF146" s="490">
        <v>1241.344956707452</v>
      </c>
      <c r="CG146" s="481">
        <v>45981.486104705182</v>
      </c>
      <c r="CH146" s="178">
        <v>4.3202960518675546E-2</v>
      </c>
      <c r="CI146" s="246">
        <v>70.396825396825392</v>
      </c>
      <c r="CJ146" s="189">
        <v>26281.091365740733</v>
      </c>
      <c r="CK146" s="281">
        <v>0.7</v>
      </c>
      <c r="CM146" s="240">
        <v>12.5</v>
      </c>
      <c r="CN146" s="241">
        <v>9.000532385947789E-2</v>
      </c>
      <c r="CO146" s="242">
        <v>3.8218390804597693</v>
      </c>
    </row>
    <row r="147" spans="2:93" ht="13.5" customHeight="1" x14ac:dyDescent="0.25">
      <c r="B147" s="540" t="s">
        <v>94</v>
      </c>
      <c r="C147" s="540"/>
      <c r="D147" s="540"/>
      <c r="E147" s="540"/>
      <c r="F147" s="88">
        <v>3000</v>
      </c>
      <c r="G147" s="89">
        <v>3150</v>
      </c>
      <c r="H147" s="90">
        <v>3244.5</v>
      </c>
      <c r="I147" s="90"/>
      <c r="J147" s="103"/>
      <c r="K147" s="91">
        <v>5.0000000000000044E-2</v>
      </c>
      <c r="L147" s="103">
        <v>3.0000000000000027E-2</v>
      </c>
      <c r="M147" s="367">
        <v>2.0283975659229209E-2</v>
      </c>
      <c r="N147" s="367">
        <v>2.0352124051041837E-2</v>
      </c>
      <c r="O147" s="94">
        <v>2.017807955928512E-2</v>
      </c>
      <c r="P147" s="29"/>
      <c r="Q147" s="345">
        <v>0.68157894736842117</v>
      </c>
      <c r="R147" s="346">
        <v>0.74722222222222234</v>
      </c>
      <c r="S147" s="349">
        <v>0.75480555555555562</v>
      </c>
      <c r="T147" s="93">
        <v>9.6310596310596353E-2</v>
      </c>
      <c r="U147" s="92">
        <v>1.0148698884758334E-2</v>
      </c>
      <c r="V147" s="13"/>
      <c r="W147" s="375">
        <v>5.000000000000019E-2</v>
      </c>
      <c r="X147" s="376">
        <v>0.1</v>
      </c>
      <c r="Y147" s="377">
        <v>0.1</v>
      </c>
      <c r="AA147" s="366">
        <v>0.63157894736842102</v>
      </c>
      <c r="AB147" s="367">
        <v>0.64722222222222237</v>
      </c>
      <c r="AC147" s="94">
        <v>0.65480555555555564</v>
      </c>
      <c r="AE147" s="95">
        <v>20</v>
      </c>
      <c r="AF147" s="96">
        <v>20.6</v>
      </c>
      <c r="AG147" s="99">
        <v>21.630000000000003</v>
      </c>
      <c r="AH147" s="93">
        <v>0.03</v>
      </c>
      <c r="AI147" s="92">
        <v>0.05</v>
      </c>
      <c r="AK147" s="95">
        <v>24</v>
      </c>
      <c r="AL147" s="96">
        <v>24.720000000000002</v>
      </c>
      <c r="AM147" s="99">
        <v>25.956000000000003</v>
      </c>
      <c r="AN147" s="93">
        <v>0.03</v>
      </c>
      <c r="AO147" s="92">
        <v>0.05</v>
      </c>
      <c r="AQ147" s="95">
        <v>20</v>
      </c>
      <c r="AR147" s="96">
        <v>19.515789473684212</v>
      </c>
      <c r="AS147" s="99">
        <v>20.491578947368424</v>
      </c>
      <c r="AT147" s="91">
        <v>-2.421052631578946E-2</v>
      </c>
      <c r="AU147" s="92">
        <v>5.0000000000000044E-2</v>
      </c>
      <c r="AW147" s="88">
        <v>157.89473684210566</v>
      </c>
      <c r="AX147" s="89">
        <v>350.00000000000023</v>
      </c>
      <c r="AY147" s="90">
        <v>360.50000000000023</v>
      </c>
      <c r="BA147" s="88">
        <v>1894.7368421052631</v>
      </c>
      <c r="BB147" s="89">
        <v>2038.7500000000005</v>
      </c>
      <c r="BC147" s="90">
        <v>2124.5166250000002</v>
      </c>
      <c r="BE147" s="88">
        <v>1105.2631578947369</v>
      </c>
      <c r="BF147" s="89">
        <v>1111.2499999999995</v>
      </c>
      <c r="BG147" s="89">
        <v>1119.9833749999998</v>
      </c>
      <c r="BI147" s="100">
        <v>3157.8947368421059</v>
      </c>
      <c r="BJ147" s="101">
        <v>3500</v>
      </c>
      <c r="BK147" s="102">
        <v>3605</v>
      </c>
      <c r="BM147" s="88">
        <v>150</v>
      </c>
      <c r="BN147" s="89">
        <v>161.40776699029126</v>
      </c>
      <c r="BO147" s="89">
        <v>158.33333333333331</v>
      </c>
      <c r="BP147" s="91">
        <v>7.6051779935275121E-2</v>
      </c>
      <c r="BQ147" s="92">
        <v>-1.9047619047619202E-2</v>
      </c>
      <c r="BR147" s="367">
        <v>3.3076074972436607E-2</v>
      </c>
      <c r="BS147" s="367">
        <v>3.3484082719859018E-2</v>
      </c>
      <c r="BT147" s="94">
        <v>3.3256432038396941E-2</v>
      </c>
      <c r="BV147" s="88">
        <v>12</v>
      </c>
      <c r="BW147" s="285">
        <v>12</v>
      </c>
      <c r="BX147" s="92">
        <v>0</v>
      </c>
      <c r="BY147" s="88">
        <v>12</v>
      </c>
      <c r="BZ147" s="285">
        <v>3574.6271031320648</v>
      </c>
      <c r="CA147" s="92">
        <v>296.88559192767207</v>
      </c>
      <c r="CB147" s="285">
        <v>15</v>
      </c>
      <c r="CC147" s="282">
        <v>67.857142857142861</v>
      </c>
      <c r="CD147" s="103">
        <v>3.5238095238095237</v>
      </c>
      <c r="CF147" s="115">
        <v>3724.0348701223556</v>
      </c>
      <c r="CG147" s="102">
        <v>137944.45831411553</v>
      </c>
      <c r="CH147" s="252">
        <v>4.3202960518675546E-2</v>
      </c>
      <c r="CI147" s="115">
        <v>211.19047619047618</v>
      </c>
      <c r="CJ147" s="102">
        <v>78843.274097222195</v>
      </c>
      <c r="CK147" s="308">
        <v>0.7</v>
      </c>
      <c r="CM147" s="290">
        <v>12.5</v>
      </c>
      <c r="CN147" s="291">
        <v>9.0005323859477904E-2</v>
      </c>
      <c r="CO147" s="292">
        <v>3.8218390804597693</v>
      </c>
    </row>
    <row r="148" spans="2:93" outlineLevel="1" x14ac:dyDescent="0.25">
      <c r="B148" s="160" t="s">
        <v>76</v>
      </c>
      <c r="C148" s="23" t="s">
        <v>95</v>
      </c>
      <c r="D148" s="23" t="s">
        <v>85</v>
      </c>
      <c r="E148" s="198" t="s">
        <v>96</v>
      </c>
      <c r="F148" s="454">
        <v>1000</v>
      </c>
      <c r="G148" s="177">
        <v>1050</v>
      </c>
      <c r="H148" s="177">
        <v>1081.5</v>
      </c>
      <c r="I148" s="166"/>
      <c r="J148" s="182"/>
      <c r="K148" s="183">
        <v>0.05</v>
      </c>
      <c r="L148" s="184">
        <v>0.03</v>
      </c>
      <c r="M148" s="411">
        <v>6.7613252197430695E-3</v>
      </c>
      <c r="N148" s="411">
        <v>6.7840413503472783E-3</v>
      </c>
      <c r="O148" s="412">
        <v>6.7260265197617072E-3</v>
      </c>
      <c r="P148" s="29"/>
      <c r="Q148" s="461">
        <v>0.65</v>
      </c>
      <c r="R148" s="343">
        <v>0.68250000000000011</v>
      </c>
      <c r="S148" s="356">
        <v>0.68932500000000008</v>
      </c>
      <c r="T148" s="185">
        <v>0.05</v>
      </c>
      <c r="U148" s="186">
        <v>0.01</v>
      </c>
      <c r="V148" s="29"/>
      <c r="W148" s="467">
        <v>0.05</v>
      </c>
      <c r="X148" s="486">
        <v>0.1</v>
      </c>
      <c r="Y148" s="389">
        <v>0.1</v>
      </c>
      <c r="AA148" s="410">
        <v>0.63157894736842102</v>
      </c>
      <c r="AB148" s="411">
        <v>0.64722222222222237</v>
      </c>
      <c r="AC148" s="412">
        <v>0.65480555555555564</v>
      </c>
      <c r="AE148" s="187">
        <v>21.05263157894737</v>
      </c>
      <c r="AF148" s="62">
        <v>21.684210526315791</v>
      </c>
      <c r="AG148" s="69">
        <v>22.768421052631581</v>
      </c>
      <c r="AH148" s="185">
        <v>0.03</v>
      </c>
      <c r="AI148" s="186">
        <v>0.05</v>
      </c>
      <c r="AK148" s="187">
        <v>25.263157894736842</v>
      </c>
      <c r="AL148" s="62">
        <v>26.02105263157895</v>
      </c>
      <c r="AM148" s="69">
        <v>27.322105263157898</v>
      </c>
      <c r="AN148" s="420">
        <v>0.03</v>
      </c>
      <c r="AO148" s="443">
        <v>0.05</v>
      </c>
      <c r="AQ148" s="187">
        <v>20</v>
      </c>
      <c r="AR148" s="64">
        <v>19.515789473684212</v>
      </c>
      <c r="AS148" s="65">
        <v>20.491578947368424</v>
      </c>
      <c r="AT148" s="178">
        <v>-2.421052631578946E-2</v>
      </c>
      <c r="AU148" s="179">
        <v>5.0000000000000044E-2</v>
      </c>
      <c r="AW148" s="188">
        <v>52.631578947368553</v>
      </c>
      <c r="AX148" s="177">
        <v>116.66666666666674</v>
      </c>
      <c r="AY148" s="177">
        <v>120.16666666666674</v>
      </c>
      <c r="BA148" s="188">
        <v>631.57894736842104</v>
      </c>
      <c r="BB148" s="177">
        <v>679.58333333333348</v>
      </c>
      <c r="BC148" s="177">
        <v>708.1722083333334</v>
      </c>
      <c r="BE148" s="223">
        <v>368.42105263157896</v>
      </c>
      <c r="BF148" s="177">
        <v>370.41666666666652</v>
      </c>
      <c r="BG148" s="177">
        <v>373.3277916666666</v>
      </c>
      <c r="BI148" s="188">
        <v>1052.6315789473686</v>
      </c>
      <c r="BJ148" s="177">
        <v>1166.6666666666667</v>
      </c>
      <c r="BK148" s="189">
        <v>1201.6666666666667</v>
      </c>
      <c r="BM148" s="454">
        <v>50</v>
      </c>
      <c r="BN148" s="177">
        <v>53.802588996763753</v>
      </c>
      <c r="BO148" s="177">
        <v>52.777777777777771</v>
      </c>
      <c r="BP148" s="178">
        <v>7.6051779935275121E-2</v>
      </c>
      <c r="BQ148" s="179">
        <v>-1.9047619047619091E-2</v>
      </c>
      <c r="BR148" s="411">
        <v>1.1025358324145534E-2</v>
      </c>
      <c r="BS148" s="411">
        <v>1.1161360906619672E-2</v>
      </c>
      <c r="BT148" s="412">
        <v>1.1085477346132314E-2</v>
      </c>
      <c r="BV148" s="454">
        <v>4</v>
      </c>
      <c r="BW148" s="473">
        <v>4</v>
      </c>
      <c r="BX148" s="180">
        <v>0</v>
      </c>
      <c r="BY148" s="454">
        <v>4</v>
      </c>
      <c r="BZ148" s="188">
        <v>1191.5423677106883</v>
      </c>
      <c r="CA148" s="180">
        <v>296.88559192767207</v>
      </c>
      <c r="CB148" s="190">
        <v>5</v>
      </c>
      <c r="CC148" s="246">
        <v>22.61904761904762</v>
      </c>
      <c r="CD148" s="430">
        <v>3.5238095238095237</v>
      </c>
      <c r="CF148" s="490">
        <v>1241.344956707452</v>
      </c>
      <c r="CG148" s="481">
        <v>45981.486104705182</v>
      </c>
      <c r="CH148" s="178">
        <v>4.3202960518675546E-2</v>
      </c>
      <c r="CI148" s="246">
        <v>70.396825396825392</v>
      </c>
      <c r="CJ148" s="189">
        <v>26281.091365740733</v>
      </c>
      <c r="CK148" s="281">
        <v>0.7</v>
      </c>
      <c r="CM148" s="240">
        <v>12.5</v>
      </c>
      <c r="CN148" s="241">
        <v>9.000532385947789E-2</v>
      </c>
      <c r="CO148" s="242">
        <v>3.8218390804597693</v>
      </c>
    </row>
    <row r="149" spans="2:93" outlineLevel="1" x14ac:dyDescent="0.25">
      <c r="B149" s="15"/>
      <c r="C149" s="53"/>
      <c r="D149" s="53"/>
      <c r="E149" s="198" t="s">
        <v>97</v>
      </c>
      <c r="F149" s="454">
        <v>1000</v>
      </c>
      <c r="G149" s="177">
        <v>1050</v>
      </c>
      <c r="H149" s="177">
        <v>1081.5</v>
      </c>
      <c r="I149" s="181"/>
      <c r="J149" s="182"/>
      <c r="K149" s="183">
        <v>0.05</v>
      </c>
      <c r="L149" s="184">
        <v>0.03</v>
      </c>
      <c r="M149" s="411">
        <v>6.7613252197430695E-3</v>
      </c>
      <c r="N149" s="411">
        <v>6.7840413503472783E-3</v>
      </c>
      <c r="O149" s="412">
        <v>6.7260265197617072E-3</v>
      </c>
      <c r="P149" s="29"/>
      <c r="Q149" s="461">
        <v>0.65</v>
      </c>
      <c r="R149" s="343">
        <v>0.68250000000000011</v>
      </c>
      <c r="S149" s="356">
        <v>0.68932500000000008</v>
      </c>
      <c r="T149" s="185">
        <v>0.05</v>
      </c>
      <c r="U149" s="186">
        <v>0.01</v>
      </c>
      <c r="W149" s="467">
        <v>0.05</v>
      </c>
      <c r="X149" s="486">
        <v>0.1</v>
      </c>
      <c r="Y149" s="389">
        <v>0.1</v>
      </c>
      <c r="AA149" s="410">
        <v>0.63157894736842102</v>
      </c>
      <c r="AB149" s="411">
        <v>0.64722222222222237</v>
      </c>
      <c r="AC149" s="412">
        <v>0.65480555555555564</v>
      </c>
      <c r="AE149" s="187">
        <v>21.05263157894737</v>
      </c>
      <c r="AF149" s="62">
        <v>21.684210526315791</v>
      </c>
      <c r="AG149" s="69">
        <v>22.768421052631581</v>
      </c>
      <c r="AH149" s="185">
        <v>0.03</v>
      </c>
      <c r="AI149" s="186">
        <v>0.05</v>
      </c>
      <c r="AK149" s="187">
        <v>25.263157894736842</v>
      </c>
      <c r="AL149" s="62">
        <v>26.02105263157895</v>
      </c>
      <c r="AM149" s="69">
        <v>27.322105263157898</v>
      </c>
      <c r="AN149" s="420">
        <v>0.03</v>
      </c>
      <c r="AO149" s="443">
        <v>0.05</v>
      </c>
      <c r="AQ149" s="187">
        <v>20</v>
      </c>
      <c r="AR149" s="64">
        <v>19.515789473684212</v>
      </c>
      <c r="AS149" s="65">
        <v>20.491578947368424</v>
      </c>
      <c r="AT149" s="178">
        <v>-2.421052631578946E-2</v>
      </c>
      <c r="AU149" s="179">
        <v>5.0000000000000044E-2</v>
      </c>
      <c r="AW149" s="188">
        <v>52.631578947368553</v>
      </c>
      <c r="AX149" s="177">
        <v>116.66666666666674</v>
      </c>
      <c r="AY149" s="177">
        <v>120.16666666666674</v>
      </c>
      <c r="BA149" s="188">
        <v>631.57894736842104</v>
      </c>
      <c r="BB149" s="177">
        <v>679.58333333333348</v>
      </c>
      <c r="BC149" s="177">
        <v>708.1722083333334</v>
      </c>
      <c r="BE149" s="223">
        <v>368.42105263157896</v>
      </c>
      <c r="BF149" s="177">
        <v>370.41666666666652</v>
      </c>
      <c r="BG149" s="177">
        <v>373.3277916666666</v>
      </c>
      <c r="BI149" s="188">
        <v>1052.6315789473686</v>
      </c>
      <c r="BJ149" s="177">
        <v>1166.6666666666667</v>
      </c>
      <c r="BK149" s="189">
        <v>1201.6666666666667</v>
      </c>
      <c r="BM149" s="454">
        <v>50</v>
      </c>
      <c r="BN149" s="177">
        <v>53.802588996763753</v>
      </c>
      <c r="BO149" s="177">
        <v>52.777777777777771</v>
      </c>
      <c r="BP149" s="178">
        <v>7.6051779935275121E-2</v>
      </c>
      <c r="BQ149" s="179">
        <v>-1.9047619047619091E-2</v>
      </c>
      <c r="BR149" s="411">
        <v>1.1025358324145534E-2</v>
      </c>
      <c r="BS149" s="411">
        <v>1.1161360906619672E-2</v>
      </c>
      <c r="BT149" s="412">
        <v>1.1085477346132314E-2</v>
      </c>
      <c r="BV149" s="454">
        <v>4</v>
      </c>
      <c r="BW149" s="473">
        <v>4</v>
      </c>
      <c r="BX149" s="180">
        <v>0</v>
      </c>
      <c r="BY149" s="454">
        <v>4</v>
      </c>
      <c r="BZ149" s="188">
        <v>1191.5423677106883</v>
      </c>
      <c r="CA149" s="180">
        <v>296.88559192767207</v>
      </c>
      <c r="CB149" s="190">
        <v>5</v>
      </c>
      <c r="CC149" s="246">
        <v>22.61904761904762</v>
      </c>
      <c r="CD149" s="430">
        <v>3.5238095238095237</v>
      </c>
      <c r="CF149" s="490">
        <v>1241.344956707452</v>
      </c>
      <c r="CG149" s="481">
        <v>45981.486104705182</v>
      </c>
      <c r="CH149" s="178">
        <v>4.3202960518675546E-2</v>
      </c>
      <c r="CI149" s="246">
        <v>70.396825396825392</v>
      </c>
      <c r="CJ149" s="189">
        <v>26281.091365740733</v>
      </c>
      <c r="CK149" s="281">
        <v>0.7</v>
      </c>
      <c r="CM149" s="240">
        <v>12.5</v>
      </c>
      <c r="CN149" s="241">
        <v>9.000532385947789E-2</v>
      </c>
      <c r="CO149" s="242">
        <v>3.8218390804597693</v>
      </c>
    </row>
    <row r="150" spans="2:93" outlineLevel="1" x14ac:dyDescent="0.25">
      <c r="B150" s="15"/>
      <c r="C150" s="53"/>
      <c r="D150" s="53"/>
      <c r="E150" s="198" t="s">
        <v>98</v>
      </c>
      <c r="F150" s="454">
        <v>1000</v>
      </c>
      <c r="G150" s="177">
        <v>1050</v>
      </c>
      <c r="H150" s="177">
        <v>1081.5</v>
      </c>
      <c r="I150" s="181"/>
      <c r="J150" s="182"/>
      <c r="K150" s="183">
        <v>0.05</v>
      </c>
      <c r="L150" s="184">
        <v>0.03</v>
      </c>
      <c r="M150" s="411">
        <v>6.7613252197430695E-3</v>
      </c>
      <c r="N150" s="411">
        <v>6.7840413503472783E-3</v>
      </c>
      <c r="O150" s="412">
        <v>6.7260265197617072E-3</v>
      </c>
      <c r="P150" s="29"/>
      <c r="Q150" s="461">
        <v>0.65</v>
      </c>
      <c r="R150" s="343">
        <v>0.68250000000000011</v>
      </c>
      <c r="S150" s="356">
        <v>0.68932500000000008</v>
      </c>
      <c r="T150" s="185">
        <v>0.05</v>
      </c>
      <c r="U150" s="186">
        <v>0.01</v>
      </c>
      <c r="W150" s="467">
        <v>0.05</v>
      </c>
      <c r="X150" s="486">
        <v>0.1</v>
      </c>
      <c r="Y150" s="389">
        <v>0.1</v>
      </c>
      <c r="AA150" s="410">
        <v>0.63157894736842102</v>
      </c>
      <c r="AB150" s="411">
        <v>0.64722222222222237</v>
      </c>
      <c r="AC150" s="412">
        <v>0.65480555555555564</v>
      </c>
      <c r="AE150" s="187">
        <v>21.05263157894737</v>
      </c>
      <c r="AF150" s="62">
        <v>21.684210526315791</v>
      </c>
      <c r="AG150" s="69">
        <v>22.768421052631581</v>
      </c>
      <c r="AH150" s="185">
        <v>0.03</v>
      </c>
      <c r="AI150" s="186">
        <v>0.05</v>
      </c>
      <c r="AK150" s="187">
        <v>25.263157894736842</v>
      </c>
      <c r="AL150" s="62">
        <v>26.02105263157895</v>
      </c>
      <c r="AM150" s="69">
        <v>27.322105263157898</v>
      </c>
      <c r="AN150" s="420">
        <v>0.03</v>
      </c>
      <c r="AO150" s="443">
        <v>0.05</v>
      </c>
      <c r="AQ150" s="187">
        <v>20</v>
      </c>
      <c r="AR150" s="64">
        <v>19.515789473684212</v>
      </c>
      <c r="AS150" s="65">
        <v>20.491578947368424</v>
      </c>
      <c r="AT150" s="178">
        <v>-2.421052631578946E-2</v>
      </c>
      <c r="AU150" s="179">
        <v>5.0000000000000044E-2</v>
      </c>
      <c r="AW150" s="188">
        <v>52.631578947368553</v>
      </c>
      <c r="AX150" s="177">
        <v>116.66666666666674</v>
      </c>
      <c r="AY150" s="177">
        <v>120.16666666666674</v>
      </c>
      <c r="BA150" s="188">
        <v>631.57894736842104</v>
      </c>
      <c r="BB150" s="177">
        <v>679.58333333333348</v>
      </c>
      <c r="BC150" s="177">
        <v>708.1722083333334</v>
      </c>
      <c r="BE150" s="223">
        <v>368.42105263157896</v>
      </c>
      <c r="BF150" s="177">
        <v>370.41666666666652</v>
      </c>
      <c r="BG150" s="177">
        <v>373.3277916666666</v>
      </c>
      <c r="BI150" s="188">
        <v>1052.6315789473686</v>
      </c>
      <c r="BJ150" s="177">
        <v>1166.6666666666667</v>
      </c>
      <c r="BK150" s="189">
        <v>1201.6666666666667</v>
      </c>
      <c r="BM150" s="454">
        <v>50</v>
      </c>
      <c r="BN150" s="177">
        <v>53.802588996763753</v>
      </c>
      <c r="BO150" s="177">
        <v>52.777777777777771</v>
      </c>
      <c r="BP150" s="178">
        <v>7.6051779935275121E-2</v>
      </c>
      <c r="BQ150" s="179">
        <v>-1.9047619047619091E-2</v>
      </c>
      <c r="BR150" s="411">
        <v>1.1025358324145534E-2</v>
      </c>
      <c r="BS150" s="411">
        <v>1.1161360906619672E-2</v>
      </c>
      <c r="BT150" s="412">
        <v>1.1085477346132314E-2</v>
      </c>
      <c r="BV150" s="454">
        <v>4</v>
      </c>
      <c r="BW150" s="473">
        <v>4</v>
      </c>
      <c r="BX150" s="180">
        <v>0</v>
      </c>
      <c r="BY150" s="454">
        <v>4</v>
      </c>
      <c r="BZ150" s="188">
        <v>1191.5423677106883</v>
      </c>
      <c r="CA150" s="180">
        <v>296.88559192767207</v>
      </c>
      <c r="CB150" s="190">
        <v>5</v>
      </c>
      <c r="CC150" s="246">
        <v>22.61904761904762</v>
      </c>
      <c r="CD150" s="430">
        <v>3.5238095238095237</v>
      </c>
      <c r="CF150" s="490">
        <v>1241.344956707452</v>
      </c>
      <c r="CG150" s="481">
        <v>45981.486104705182</v>
      </c>
      <c r="CH150" s="178">
        <v>4.3202960518675546E-2</v>
      </c>
      <c r="CI150" s="246">
        <v>70.396825396825392</v>
      </c>
      <c r="CJ150" s="189">
        <v>26281.091365740733</v>
      </c>
      <c r="CK150" s="281">
        <v>0.7</v>
      </c>
      <c r="CM150" s="240">
        <v>12.5</v>
      </c>
      <c r="CN150" s="241">
        <v>9.000532385947789E-2</v>
      </c>
      <c r="CO150" s="242">
        <v>3.8218390804597693</v>
      </c>
    </row>
    <row r="151" spans="2:93" outlineLevel="1" x14ac:dyDescent="0.25">
      <c r="B151" s="15"/>
      <c r="C151" s="53"/>
      <c r="D151" s="53"/>
      <c r="E151" s="198" t="s">
        <v>99</v>
      </c>
      <c r="F151" s="454">
        <v>1000</v>
      </c>
      <c r="G151" s="177">
        <v>1050</v>
      </c>
      <c r="H151" s="177">
        <v>1081.5</v>
      </c>
      <c r="I151" s="181"/>
      <c r="J151" s="182"/>
      <c r="K151" s="183">
        <v>0.05</v>
      </c>
      <c r="L151" s="184">
        <v>0.03</v>
      </c>
      <c r="M151" s="411">
        <v>6.7613252197430695E-3</v>
      </c>
      <c r="N151" s="411">
        <v>6.7840413503472783E-3</v>
      </c>
      <c r="O151" s="412">
        <v>6.7260265197617072E-3</v>
      </c>
      <c r="P151" s="29"/>
      <c r="Q151" s="461">
        <v>0.65</v>
      </c>
      <c r="R151" s="343">
        <v>0.68250000000000011</v>
      </c>
      <c r="S151" s="356">
        <v>0.68932500000000008</v>
      </c>
      <c r="T151" s="185">
        <v>0.05</v>
      </c>
      <c r="U151" s="186">
        <v>0.01</v>
      </c>
      <c r="W151" s="467">
        <v>0.05</v>
      </c>
      <c r="X151" s="486">
        <v>0.1</v>
      </c>
      <c r="Y151" s="389">
        <v>0.1</v>
      </c>
      <c r="AA151" s="410">
        <v>0.63157894736842102</v>
      </c>
      <c r="AB151" s="411">
        <v>0.64722222222222237</v>
      </c>
      <c r="AC151" s="412">
        <v>0.65480555555555564</v>
      </c>
      <c r="AE151" s="187">
        <v>21.05263157894737</v>
      </c>
      <c r="AF151" s="62">
        <v>21.684210526315791</v>
      </c>
      <c r="AG151" s="69">
        <v>22.768421052631581</v>
      </c>
      <c r="AH151" s="185">
        <v>0.03</v>
      </c>
      <c r="AI151" s="186">
        <v>0.05</v>
      </c>
      <c r="AK151" s="187">
        <v>25.263157894736842</v>
      </c>
      <c r="AL151" s="62">
        <v>26.02105263157895</v>
      </c>
      <c r="AM151" s="69">
        <v>27.322105263157898</v>
      </c>
      <c r="AN151" s="420">
        <v>0.03</v>
      </c>
      <c r="AO151" s="443">
        <v>0.05</v>
      </c>
      <c r="AQ151" s="187">
        <v>20</v>
      </c>
      <c r="AR151" s="64">
        <v>19.515789473684212</v>
      </c>
      <c r="AS151" s="65">
        <v>20.491578947368424</v>
      </c>
      <c r="AT151" s="178">
        <v>-2.421052631578946E-2</v>
      </c>
      <c r="AU151" s="179">
        <v>5.0000000000000044E-2</v>
      </c>
      <c r="AW151" s="188">
        <v>52.631578947368553</v>
      </c>
      <c r="AX151" s="177">
        <v>116.66666666666674</v>
      </c>
      <c r="AY151" s="177">
        <v>120.16666666666674</v>
      </c>
      <c r="BA151" s="188">
        <v>631.57894736842104</v>
      </c>
      <c r="BB151" s="177">
        <v>679.58333333333348</v>
      </c>
      <c r="BC151" s="177">
        <v>708.1722083333334</v>
      </c>
      <c r="BE151" s="223">
        <v>368.42105263157896</v>
      </c>
      <c r="BF151" s="177">
        <v>370.41666666666652</v>
      </c>
      <c r="BG151" s="177">
        <v>373.3277916666666</v>
      </c>
      <c r="BI151" s="188">
        <v>1052.6315789473686</v>
      </c>
      <c r="BJ151" s="177">
        <v>1166.6666666666667</v>
      </c>
      <c r="BK151" s="189">
        <v>1201.6666666666667</v>
      </c>
      <c r="BM151" s="454">
        <v>50</v>
      </c>
      <c r="BN151" s="177">
        <v>53.802588996763753</v>
      </c>
      <c r="BO151" s="177">
        <v>52.777777777777771</v>
      </c>
      <c r="BP151" s="178">
        <v>7.6051779935275121E-2</v>
      </c>
      <c r="BQ151" s="179">
        <v>-1.9047619047619091E-2</v>
      </c>
      <c r="BR151" s="411">
        <v>1.1025358324145534E-2</v>
      </c>
      <c r="BS151" s="411">
        <v>1.1161360906619672E-2</v>
      </c>
      <c r="BT151" s="412">
        <v>1.1085477346132314E-2</v>
      </c>
      <c r="BV151" s="454">
        <v>4</v>
      </c>
      <c r="BW151" s="473">
        <v>4</v>
      </c>
      <c r="BX151" s="180">
        <v>0</v>
      </c>
      <c r="BY151" s="454">
        <v>4</v>
      </c>
      <c r="BZ151" s="188">
        <v>1191.5423677106883</v>
      </c>
      <c r="CA151" s="180">
        <v>296.88559192767207</v>
      </c>
      <c r="CB151" s="190">
        <v>5</v>
      </c>
      <c r="CC151" s="246">
        <v>22.61904761904762</v>
      </c>
      <c r="CD151" s="430">
        <v>3.5238095238095237</v>
      </c>
      <c r="CF151" s="490">
        <v>1241.344956707452</v>
      </c>
      <c r="CG151" s="481">
        <v>45981.486104705182</v>
      </c>
      <c r="CH151" s="178">
        <v>4.3202960518675546E-2</v>
      </c>
      <c r="CI151" s="246">
        <v>70.396825396825392</v>
      </c>
      <c r="CJ151" s="189">
        <v>26281.091365740733</v>
      </c>
      <c r="CK151" s="281">
        <v>0.7</v>
      </c>
      <c r="CM151" s="240">
        <v>12.5</v>
      </c>
      <c r="CN151" s="241">
        <v>9.000532385947789E-2</v>
      </c>
      <c r="CO151" s="242">
        <v>3.8218390804597693</v>
      </c>
    </row>
    <row r="152" spans="2:93" outlineLevel="1" x14ac:dyDescent="0.25">
      <c r="B152" s="15"/>
      <c r="C152" s="53"/>
      <c r="D152" s="53"/>
      <c r="E152" s="198" t="s">
        <v>100</v>
      </c>
      <c r="F152" s="454">
        <v>1000</v>
      </c>
      <c r="G152" s="177">
        <v>1050</v>
      </c>
      <c r="H152" s="177">
        <v>1081.5</v>
      </c>
      <c r="I152" s="181"/>
      <c r="J152" s="182"/>
      <c r="K152" s="183">
        <v>0.05</v>
      </c>
      <c r="L152" s="184">
        <v>0.03</v>
      </c>
      <c r="M152" s="411">
        <v>6.7613252197430695E-3</v>
      </c>
      <c r="N152" s="411">
        <v>6.7840413503472783E-3</v>
      </c>
      <c r="O152" s="412">
        <v>6.7260265197617072E-3</v>
      </c>
      <c r="P152" s="29"/>
      <c r="Q152" s="461">
        <v>0.65</v>
      </c>
      <c r="R152" s="343">
        <v>0.68250000000000011</v>
      </c>
      <c r="S152" s="356">
        <v>0.68932500000000008</v>
      </c>
      <c r="T152" s="185">
        <v>0.05</v>
      </c>
      <c r="U152" s="186">
        <v>0.01</v>
      </c>
      <c r="W152" s="467">
        <v>0.05</v>
      </c>
      <c r="X152" s="486">
        <v>0.1</v>
      </c>
      <c r="Y152" s="389">
        <v>0.1</v>
      </c>
      <c r="AA152" s="410">
        <v>0.63157894736842102</v>
      </c>
      <c r="AB152" s="411">
        <v>0.64722222222222237</v>
      </c>
      <c r="AC152" s="412">
        <v>0.65480555555555564</v>
      </c>
      <c r="AE152" s="187">
        <v>21.05263157894737</v>
      </c>
      <c r="AF152" s="62">
        <v>21.684210526315791</v>
      </c>
      <c r="AG152" s="69">
        <v>22.768421052631581</v>
      </c>
      <c r="AH152" s="185">
        <v>0.03</v>
      </c>
      <c r="AI152" s="186">
        <v>0.05</v>
      </c>
      <c r="AK152" s="187">
        <v>25.263157894736842</v>
      </c>
      <c r="AL152" s="62">
        <v>26.02105263157895</v>
      </c>
      <c r="AM152" s="69">
        <v>27.322105263157898</v>
      </c>
      <c r="AN152" s="420">
        <v>0.03</v>
      </c>
      <c r="AO152" s="443">
        <v>0.05</v>
      </c>
      <c r="AQ152" s="187">
        <v>20</v>
      </c>
      <c r="AR152" s="64">
        <v>19.515789473684212</v>
      </c>
      <c r="AS152" s="65">
        <v>20.491578947368424</v>
      </c>
      <c r="AT152" s="178">
        <v>-2.421052631578946E-2</v>
      </c>
      <c r="AU152" s="179">
        <v>5.0000000000000044E-2</v>
      </c>
      <c r="AW152" s="188">
        <v>52.631578947368553</v>
      </c>
      <c r="AX152" s="177">
        <v>116.66666666666674</v>
      </c>
      <c r="AY152" s="177">
        <v>120.16666666666674</v>
      </c>
      <c r="BA152" s="188">
        <v>631.57894736842104</v>
      </c>
      <c r="BB152" s="177">
        <v>679.58333333333348</v>
      </c>
      <c r="BC152" s="177">
        <v>708.1722083333334</v>
      </c>
      <c r="BE152" s="223">
        <v>368.42105263157896</v>
      </c>
      <c r="BF152" s="177">
        <v>370.41666666666652</v>
      </c>
      <c r="BG152" s="177">
        <v>373.3277916666666</v>
      </c>
      <c r="BI152" s="188">
        <v>1052.6315789473686</v>
      </c>
      <c r="BJ152" s="177">
        <v>1166.6666666666667</v>
      </c>
      <c r="BK152" s="189">
        <v>1201.6666666666667</v>
      </c>
      <c r="BM152" s="454">
        <v>50</v>
      </c>
      <c r="BN152" s="177">
        <v>53.802588996763753</v>
      </c>
      <c r="BO152" s="177">
        <v>52.777777777777771</v>
      </c>
      <c r="BP152" s="178">
        <v>7.6051779935275121E-2</v>
      </c>
      <c r="BQ152" s="179">
        <v>-1.9047619047619091E-2</v>
      </c>
      <c r="BR152" s="411">
        <v>1.1025358324145534E-2</v>
      </c>
      <c r="BS152" s="411">
        <v>1.1161360906619672E-2</v>
      </c>
      <c r="BT152" s="412">
        <v>1.1085477346132314E-2</v>
      </c>
      <c r="BV152" s="454">
        <v>4</v>
      </c>
      <c r="BW152" s="473">
        <v>4</v>
      </c>
      <c r="BX152" s="180">
        <v>0</v>
      </c>
      <c r="BY152" s="454">
        <v>4</v>
      </c>
      <c r="BZ152" s="188">
        <v>1191.5423677106883</v>
      </c>
      <c r="CA152" s="180">
        <v>296.88559192767207</v>
      </c>
      <c r="CB152" s="190">
        <v>5</v>
      </c>
      <c r="CC152" s="246">
        <v>22.61904761904762</v>
      </c>
      <c r="CD152" s="430">
        <v>3.5238095238095237</v>
      </c>
      <c r="CF152" s="490">
        <v>1241.344956707452</v>
      </c>
      <c r="CG152" s="481">
        <v>45981.486104705182</v>
      </c>
      <c r="CH152" s="178">
        <v>4.3202960518675546E-2</v>
      </c>
      <c r="CI152" s="246">
        <v>70.396825396825392</v>
      </c>
      <c r="CJ152" s="189">
        <v>26281.091365740733</v>
      </c>
      <c r="CK152" s="281">
        <v>0.7</v>
      </c>
      <c r="CM152" s="240">
        <v>12.5</v>
      </c>
      <c r="CN152" s="241">
        <v>9.000532385947789E-2</v>
      </c>
      <c r="CO152" s="242">
        <v>3.8218390804597693</v>
      </c>
    </row>
    <row r="153" spans="2:93" outlineLevel="1" x14ac:dyDescent="0.25">
      <c r="B153" s="15"/>
      <c r="C153" s="53"/>
      <c r="D153" s="53"/>
      <c r="E153" s="198" t="s">
        <v>101</v>
      </c>
      <c r="F153" s="454">
        <v>1000</v>
      </c>
      <c r="G153" s="177">
        <v>1050</v>
      </c>
      <c r="H153" s="177">
        <v>1081.5</v>
      </c>
      <c r="I153" s="181"/>
      <c r="J153" s="182"/>
      <c r="K153" s="183">
        <v>0.05</v>
      </c>
      <c r="L153" s="184">
        <v>0.03</v>
      </c>
      <c r="M153" s="411">
        <v>6.7613252197430695E-3</v>
      </c>
      <c r="N153" s="411">
        <v>6.7840413503472783E-3</v>
      </c>
      <c r="O153" s="412">
        <v>6.7260265197617072E-3</v>
      </c>
      <c r="P153" s="29"/>
      <c r="Q153" s="461">
        <v>0.65</v>
      </c>
      <c r="R153" s="343">
        <v>0.68250000000000011</v>
      </c>
      <c r="S153" s="356">
        <v>0.68932500000000008</v>
      </c>
      <c r="T153" s="185">
        <v>0.05</v>
      </c>
      <c r="U153" s="186">
        <v>0.01</v>
      </c>
      <c r="W153" s="467">
        <v>0.05</v>
      </c>
      <c r="X153" s="486">
        <v>0.1</v>
      </c>
      <c r="Y153" s="389">
        <v>0.1</v>
      </c>
      <c r="AA153" s="410">
        <v>0.63157894736842102</v>
      </c>
      <c r="AB153" s="411">
        <v>0.64722222222222237</v>
      </c>
      <c r="AC153" s="412">
        <v>0.65480555555555564</v>
      </c>
      <c r="AE153" s="187">
        <v>21.05263157894737</v>
      </c>
      <c r="AF153" s="62">
        <v>21.684210526315791</v>
      </c>
      <c r="AG153" s="69">
        <v>22.768421052631581</v>
      </c>
      <c r="AH153" s="185">
        <v>0.03</v>
      </c>
      <c r="AI153" s="186">
        <v>0.05</v>
      </c>
      <c r="AK153" s="187">
        <v>25.263157894736842</v>
      </c>
      <c r="AL153" s="62">
        <v>26.02105263157895</v>
      </c>
      <c r="AM153" s="69">
        <v>27.322105263157898</v>
      </c>
      <c r="AN153" s="420">
        <v>0.03</v>
      </c>
      <c r="AO153" s="443">
        <v>0.05</v>
      </c>
      <c r="AQ153" s="187">
        <v>20</v>
      </c>
      <c r="AR153" s="64">
        <v>19.515789473684212</v>
      </c>
      <c r="AS153" s="65">
        <v>20.491578947368424</v>
      </c>
      <c r="AT153" s="178">
        <v>-2.421052631578946E-2</v>
      </c>
      <c r="AU153" s="179">
        <v>5.0000000000000044E-2</v>
      </c>
      <c r="AW153" s="188">
        <v>52.631578947368553</v>
      </c>
      <c r="AX153" s="177">
        <v>116.66666666666674</v>
      </c>
      <c r="AY153" s="177">
        <v>120.16666666666674</v>
      </c>
      <c r="BA153" s="188">
        <v>631.57894736842104</v>
      </c>
      <c r="BB153" s="177">
        <v>679.58333333333348</v>
      </c>
      <c r="BC153" s="177">
        <v>708.1722083333334</v>
      </c>
      <c r="BE153" s="223">
        <v>368.42105263157896</v>
      </c>
      <c r="BF153" s="177">
        <v>370.41666666666652</v>
      </c>
      <c r="BG153" s="177">
        <v>373.3277916666666</v>
      </c>
      <c r="BI153" s="188">
        <v>1052.6315789473686</v>
      </c>
      <c r="BJ153" s="177">
        <v>1166.6666666666667</v>
      </c>
      <c r="BK153" s="189">
        <v>1201.6666666666667</v>
      </c>
      <c r="BM153" s="454">
        <v>50</v>
      </c>
      <c r="BN153" s="177">
        <v>53.802588996763753</v>
      </c>
      <c r="BO153" s="177">
        <v>52.777777777777771</v>
      </c>
      <c r="BP153" s="178">
        <v>7.6051779935275121E-2</v>
      </c>
      <c r="BQ153" s="179">
        <v>-1.9047619047619091E-2</v>
      </c>
      <c r="BR153" s="411">
        <v>1.1025358324145534E-2</v>
      </c>
      <c r="BS153" s="411">
        <v>1.1161360906619672E-2</v>
      </c>
      <c r="BT153" s="412">
        <v>1.1085477346132314E-2</v>
      </c>
      <c r="BV153" s="454">
        <v>4</v>
      </c>
      <c r="BW153" s="473">
        <v>4</v>
      </c>
      <c r="BX153" s="180">
        <v>0</v>
      </c>
      <c r="BY153" s="454">
        <v>4</v>
      </c>
      <c r="BZ153" s="188">
        <v>1191.5423677106883</v>
      </c>
      <c r="CA153" s="180">
        <v>296.88559192767207</v>
      </c>
      <c r="CB153" s="190">
        <v>5</v>
      </c>
      <c r="CC153" s="246">
        <v>22.61904761904762</v>
      </c>
      <c r="CD153" s="430">
        <v>3.5238095238095237</v>
      </c>
      <c r="CF153" s="490">
        <v>1241.344956707452</v>
      </c>
      <c r="CG153" s="481">
        <v>45981.486104705182</v>
      </c>
      <c r="CH153" s="178">
        <v>4.3202960518675546E-2</v>
      </c>
      <c r="CI153" s="246">
        <v>70.396825396825392</v>
      </c>
      <c r="CJ153" s="189">
        <v>26281.091365740733</v>
      </c>
      <c r="CK153" s="281">
        <v>0.7</v>
      </c>
      <c r="CM153" s="240">
        <v>12.5</v>
      </c>
      <c r="CN153" s="241">
        <v>9.000532385947789E-2</v>
      </c>
      <c r="CO153" s="242">
        <v>3.8218390804597693</v>
      </c>
    </row>
    <row r="154" spans="2:93" outlineLevel="1" x14ac:dyDescent="0.25">
      <c r="B154" s="15"/>
      <c r="C154" s="53"/>
      <c r="D154" s="53"/>
      <c r="E154" s="198" t="s">
        <v>102</v>
      </c>
      <c r="F154" s="454">
        <v>1000</v>
      </c>
      <c r="G154" s="177">
        <v>1050</v>
      </c>
      <c r="H154" s="177">
        <v>1081.5</v>
      </c>
      <c r="I154" s="181"/>
      <c r="J154" s="182"/>
      <c r="K154" s="183">
        <v>0.05</v>
      </c>
      <c r="L154" s="184">
        <v>0.03</v>
      </c>
      <c r="M154" s="411">
        <v>6.7613252197430695E-3</v>
      </c>
      <c r="N154" s="411">
        <v>6.7840413503472783E-3</v>
      </c>
      <c r="O154" s="412">
        <v>6.7260265197617072E-3</v>
      </c>
      <c r="P154" s="29"/>
      <c r="Q154" s="461">
        <v>0.65</v>
      </c>
      <c r="R154" s="343">
        <v>0.68250000000000011</v>
      </c>
      <c r="S154" s="356">
        <v>0.68932500000000008</v>
      </c>
      <c r="T154" s="185">
        <v>0.05</v>
      </c>
      <c r="U154" s="186">
        <v>0.01</v>
      </c>
      <c r="W154" s="467">
        <v>0.05</v>
      </c>
      <c r="X154" s="486">
        <v>0.1</v>
      </c>
      <c r="Y154" s="389">
        <v>0.1</v>
      </c>
      <c r="AA154" s="410">
        <v>0.63157894736842102</v>
      </c>
      <c r="AB154" s="411">
        <v>0.64722222222222237</v>
      </c>
      <c r="AC154" s="412">
        <v>0.65480555555555564</v>
      </c>
      <c r="AE154" s="187">
        <v>21.05263157894737</v>
      </c>
      <c r="AF154" s="62">
        <v>21.684210526315791</v>
      </c>
      <c r="AG154" s="69">
        <v>22.768421052631581</v>
      </c>
      <c r="AH154" s="185">
        <v>0.03</v>
      </c>
      <c r="AI154" s="186">
        <v>0.05</v>
      </c>
      <c r="AK154" s="187">
        <v>25.263157894736842</v>
      </c>
      <c r="AL154" s="62">
        <v>26.02105263157895</v>
      </c>
      <c r="AM154" s="69">
        <v>27.322105263157898</v>
      </c>
      <c r="AN154" s="420">
        <v>0.03</v>
      </c>
      <c r="AO154" s="443">
        <v>0.05</v>
      </c>
      <c r="AQ154" s="187">
        <v>20</v>
      </c>
      <c r="AR154" s="64">
        <v>19.515789473684212</v>
      </c>
      <c r="AS154" s="65">
        <v>20.491578947368424</v>
      </c>
      <c r="AT154" s="178">
        <v>-2.421052631578946E-2</v>
      </c>
      <c r="AU154" s="179">
        <v>5.0000000000000044E-2</v>
      </c>
      <c r="AW154" s="188">
        <v>52.631578947368553</v>
      </c>
      <c r="AX154" s="177">
        <v>116.66666666666674</v>
      </c>
      <c r="AY154" s="177">
        <v>120.16666666666674</v>
      </c>
      <c r="BA154" s="188">
        <v>631.57894736842104</v>
      </c>
      <c r="BB154" s="177">
        <v>679.58333333333348</v>
      </c>
      <c r="BC154" s="177">
        <v>708.1722083333334</v>
      </c>
      <c r="BE154" s="223">
        <v>368.42105263157896</v>
      </c>
      <c r="BF154" s="177">
        <v>370.41666666666652</v>
      </c>
      <c r="BG154" s="177">
        <v>373.3277916666666</v>
      </c>
      <c r="BI154" s="188">
        <v>1052.6315789473686</v>
      </c>
      <c r="BJ154" s="177">
        <v>1166.6666666666667</v>
      </c>
      <c r="BK154" s="189">
        <v>1201.6666666666667</v>
      </c>
      <c r="BM154" s="454">
        <v>50</v>
      </c>
      <c r="BN154" s="177">
        <v>53.802588996763753</v>
      </c>
      <c r="BO154" s="177">
        <v>52.777777777777771</v>
      </c>
      <c r="BP154" s="178">
        <v>7.6051779935275121E-2</v>
      </c>
      <c r="BQ154" s="179">
        <v>-1.9047619047619091E-2</v>
      </c>
      <c r="BR154" s="411">
        <v>1.1025358324145534E-2</v>
      </c>
      <c r="BS154" s="411">
        <v>1.1161360906619672E-2</v>
      </c>
      <c r="BT154" s="412">
        <v>1.1085477346132314E-2</v>
      </c>
      <c r="BV154" s="454">
        <v>4</v>
      </c>
      <c r="BW154" s="473">
        <v>4</v>
      </c>
      <c r="BX154" s="180">
        <v>0</v>
      </c>
      <c r="BY154" s="454">
        <v>4</v>
      </c>
      <c r="BZ154" s="188">
        <v>1191.5423677106883</v>
      </c>
      <c r="CA154" s="180">
        <v>296.88559192767207</v>
      </c>
      <c r="CB154" s="190">
        <v>5</v>
      </c>
      <c r="CC154" s="246">
        <v>22.61904761904762</v>
      </c>
      <c r="CD154" s="430">
        <v>3.5238095238095237</v>
      </c>
      <c r="CF154" s="490">
        <v>1241.344956707452</v>
      </c>
      <c r="CG154" s="481">
        <v>45981.486104705182</v>
      </c>
      <c r="CH154" s="178">
        <v>4.3202960518675546E-2</v>
      </c>
      <c r="CI154" s="246">
        <v>70.396825396825392</v>
      </c>
      <c r="CJ154" s="189">
        <v>26281.091365740733</v>
      </c>
      <c r="CK154" s="281">
        <v>0.7</v>
      </c>
      <c r="CM154" s="240">
        <v>12.5</v>
      </c>
      <c r="CN154" s="241">
        <v>9.000532385947789E-2</v>
      </c>
      <c r="CO154" s="242">
        <v>3.8218390804597693</v>
      </c>
    </row>
    <row r="155" spans="2:93" outlineLevel="1" x14ac:dyDescent="0.25">
      <c r="B155" s="15"/>
      <c r="C155" s="53"/>
      <c r="D155" s="53"/>
      <c r="E155" s="198" t="s">
        <v>103</v>
      </c>
      <c r="F155" s="454">
        <v>1000</v>
      </c>
      <c r="G155" s="177">
        <v>1050</v>
      </c>
      <c r="H155" s="177">
        <v>1081.5</v>
      </c>
      <c r="I155" s="181"/>
      <c r="J155" s="182"/>
      <c r="K155" s="183">
        <v>0.05</v>
      </c>
      <c r="L155" s="184">
        <v>0.03</v>
      </c>
      <c r="M155" s="411">
        <v>6.7613252197430695E-3</v>
      </c>
      <c r="N155" s="411">
        <v>6.7840413503472783E-3</v>
      </c>
      <c r="O155" s="412">
        <v>6.7260265197617072E-3</v>
      </c>
      <c r="P155" s="29"/>
      <c r="Q155" s="461">
        <v>0.65</v>
      </c>
      <c r="R155" s="343">
        <v>0.68250000000000011</v>
      </c>
      <c r="S155" s="356">
        <v>0.68932500000000008</v>
      </c>
      <c r="T155" s="185">
        <v>0.05</v>
      </c>
      <c r="U155" s="186">
        <v>0.01</v>
      </c>
      <c r="W155" s="467">
        <v>0.05</v>
      </c>
      <c r="X155" s="486">
        <v>0.1</v>
      </c>
      <c r="Y155" s="389">
        <v>0.1</v>
      </c>
      <c r="AA155" s="410">
        <v>0.63157894736842102</v>
      </c>
      <c r="AB155" s="411">
        <v>0.64722222222222237</v>
      </c>
      <c r="AC155" s="412">
        <v>0.65480555555555564</v>
      </c>
      <c r="AE155" s="187">
        <v>21.05263157894737</v>
      </c>
      <c r="AF155" s="62">
        <v>21.684210526315791</v>
      </c>
      <c r="AG155" s="69">
        <v>22.768421052631581</v>
      </c>
      <c r="AH155" s="185">
        <v>0.03</v>
      </c>
      <c r="AI155" s="186">
        <v>0.05</v>
      </c>
      <c r="AK155" s="187">
        <v>25.263157894736842</v>
      </c>
      <c r="AL155" s="62">
        <v>26.02105263157895</v>
      </c>
      <c r="AM155" s="69">
        <v>27.322105263157898</v>
      </c>
      <c r="AN155" s="420">
        <v>0.03</v>
      </c>
      <c r="AO155" s="443">
        <v>0.05</v>
      </c>
      <c r="AQ155" s="187">
        <v>20</v>
      </c>
      <c r="AR155" s="64">
        <v>19.515789473684212</v>
      </c>
      <c r="AS155" s="65">
        <v>20.491578947368424</v>
      </c>
      <c r="AT155" s="178">
        <v>-2.421052631578946E-2</v>
      </c>
      <c r="AU155" s="179">
        <v>5.0000000000000044E-2</v>
      </c>
      <c r="AW155" s="188">
        <v>52.631578947368553</v>
      </c>
      <c r="AX155" s="177">
        <v>116.66666666666674</v>
      </c>
      <c r="AY155" s="177">
        <v>120.16666666666674</v>
      </c>
      <c r="BA155" s="188">
        <v>631.57894736842104</v>
      </c>
      <c r="BB155" s="177">
        <v>679.58333333333348</v>
      </c>
      <c r="BC155" s="177">
        <v>708.1722083333334</v>
      </c>
      <c r="BE155" s="223">
        <v>368.42105263157896</v>
      </c>
      <c r="BF155" s="177">
        <v>370.41666666666652</v>
      </c>
      <c r="BG155" s="177">
        <v>373.3277916666666</v>
      </c>
      <c r="BI155" s="188">
        <v>1052.6315789473686</v>
      </c>
      <c r="BJ155" s="177">
        <v>1166.6666666666667</v>
      </c>
      <c r="BK155" s="189">
        <v>1201.6666666666667</v>
      </c>
      <c r="BM155" s="454">
        <v>50</v>
      </c>
      <c r="BN155" s="177">
        <v>53.802588996763753</v>
      </c>
      <c r="BO155" s="177">
        <v>52.777777777777771</v>
      </c>
      <c r="BP155" s="178">
        <v>7.6051779935275121E-2</v>
      </c>
      <c r="BQ155" s="179">
        <v>-1.9047619047619091E-2</v>
      </c>
      <c r="BR155" s="411">
        <v>1.1025358324145534E-2</v>
      </c>
      <c r="BS155" s="411">
        <v>1.1161360906619672E-2</v>
      </c>
      <c r="BT155" s="412">
        <v>1.1085477346132314E-2</v>
      </c>
      <c r="BV155" s="454">
        <v>4</v>
      </c>
      <c r="BW155" s="473">
        <v>4</v>
      </c>
      <c r="BX155" s="180">
        <v>0</v>
      </c>
      <c r="BY155" s="454">
        <v>4</v>
      </c>
      <c r="BZ155" s="188">
        <v>1191.5423677106883</v>
      </c>
      <c r="CA155" s="180">
        <v>296.88559192767207</v>
      </c>
      <c r="CB155" s="190">
        <v>5</v>
      </c>
      <c r="CC155" s="246">
        <v>22.61904761904762</v>
      </c>
      <c r="CD155" s="430">
        <v>3.5238095238095237</v>
      </c>
      <c r="CF155" s="490">
        <v>1241.344956707452</v>
      </c>
      <c r="CG155" s="481">
        <v>45981.486104705182</v>
      </c>
      <c r="CH155" s="178">
        <v>4.3202960518675546E-2</v>
      </c>
      <c r="CI155" s="246">
        <v>70.396825396825392</v>
      </c>
      <c r="CJ155" s="189">
        <v>26281.091365740733</v>
      </c>
      <c r="CK155" s="281">
        <v>0.7</v>
      </c>
      <c r="CM155" s="240">
        <v>12.5</v>
      </c>
      <c r="CN155" s="241">
        <v>9.000532385947789E-2</v>
      </c>
      <c r="CO155" s="242">
        <v>3.8218390804597693</v>
      </c>
    </row>
    <row r="156" spans="2:93" outlineLevel="1" x14ac:dyDescent="0.25">
      <c r="B156" s="199"/>
      <c r="C156" s="73"/>
      <c r="D156" s="73"/>
      <c r="E156" s="198" t="s">
        <v>104</v>
      </c>
      <c r="F156" s="454">
        <v>1000</v>
      </c>
      <c r="G156" s="177">
        <v>1050</v>
      </c>
      <c r="H156" s="177">
        <v>1081.5</v>
      </c>
      <c r="I156" s="195"/>
      <c r="J156" s="182"/>
      <c r="K156" s="183">
        <v>0.05</v>
      </c>
      <c r="L156" s="184">
        <v>0.03</v>
      </c>
      <c r="M156" s="411">
        <v>6.7613252197430695E-3</v>
      </c>
      <c r="N156" s="411">
        <v>6.7840413503472783E-3</v>
      </c>
      <c r="O156" s="412">
        <v>6.7260265197617072E-3</v>
      </c>
      <c r="P156" s="29"/>
      <c r="Q156" s="461">
        <v>0.65</v>
      </c>
      <c r="R156" s="343">
        <v>0.68250000000000011</v>
      </c>
      <c r="S156" s="356">
        <v>0.68932500000000008</v>
      </c>
      <c r="T156" s="185">
        <v>0.05</v>
      </c>
      <c r="U156" s="186">
        <v>0.01</v>
      </c>
      <c r="W156" s="467">
        <v>0.05</v>
      </c>
      <c r="X156" s="486">
        <v>0.1</v>
      </c>
      <c r="Y156" s="389">
        <v>0.1</v>
      </c>
      <c r="AA156" s="410">
        <v>0.63157894736842102</v>
      </c>
      <c r="AB156" s="411">
        <v>0.64722222222222237</v>
      </c>
      <c r="AC156" s="412">
        <v>0.65480555555555564</v>
      </c>
      <c r="AE156" s="187">
        <v>21.05263157894737</v>
      </c>
      <c r="AF156" s="62">
        <v>21.684210526315791</v>
      </c>
      <c r="AG156" s="69">
        <v>22.768421052631581</v>
      </c>
      <c r="AH156" s="185">
        <v>0.03</v>
      </c>
      <c r="AI156" s="186">
        <v>0.05</v>
      </c>
      <c r="AK156" s="187">
        <v>25.263157894736842</v>
      </c>
      <c r="AL156" s="62">
        <v>26.02105263157895</v>
      </c>
      <c r="AM156" s="69">
        <v>27.322105263157898</v>
      </c>
      <c r="AN156" s="420">
        <v>0.03</v>
      </c>
      <c r="AO156" s="443">
        <v>0.05</v>
      </c>
      <c r="AQ156" s="187">
        <v>20</v>
      </c>
      <c r="AR156" s="64">
        <v>19.515789473684212</v>
      </c>
      <c r="AS156" s="65">
        <v>20.491578947368424</v>
      </c>
      <c r="AT156" s="178">
        <v>-2.421052631578946E-2</v>
      </c>
      <c r="AU156" s="179">
        <v>5.0000000000000044E-2</v>
      </c>
      <c r="AW156" s="188">
        <v>52.631578947368553</v>
      </c>
      <c r="AX156" s="177">
        <v>116.66666666666674</v>
      </c>
      <c r="AY156" s="177">
        <v>120.16666666666674</v>
      </c>
      <c r="BA156" s="188">
        <v>631.57894736842104</v>
      </c>
      <c r="BB156" s="177">
        <v>679.58333333333348</v>
      </c>
      <c r="BC156" s="177">
        <v>708.1722083333334</v>
      </c>
      <c r="BE156" s="223">
        <v>368.42105263157896</v>
      </c>
      <c r="BF156" s="177">
        <v>370.41666666666652</v>
      </c>
      <c r="BG156" s="177">
        <v>373.3277916666666</v>
      </c>
      <c r="BI156" s="188">
        <v>1052.6315789473686</v>
      </c>
      <c r="BJ156" s="177">
        <v>1166.6666666666667</v>
      </c>
      <c r="BK156" s="189">
        <v>1201.6666666666667</v>
      </c>
      <c r="BM156" s="454">
        <v>50</v>
      </c>
      <c r="BN156" s="177">
        <v>53.802588996763753</v>
      </c>
      <c r="BO156" s="177">
        <v>52.777777777777771</v>
      </c>
      <c r="BP156" s="178">
        <v>7.6051779935275121E-2</v>
      </c>
      <c r="BQ156" s="179">
        <v>-1.9047619047619091E-2</v>
      </c>
      <c r="BR156" s="411">
        <v>1.1025358324145534E-2</v>
      </c>
      <c r="BS156" s="411">
        <v>1.1161360906619672E-2</v>
      </c>
      <c r="BT156" s="412">
        <v>1.1085477346132314E-2</v>
      </c>
      <c r="BV156" s="454">
        <v>4</v>
      </c>
      <c r="BW156" s="473">
        <v>4</v>
      </c>
      <c r="BX156" s="180">
        <v>0</v>
      </c>
      <c r="BY156" s="454">
        <v>4</v>
      </c>
      <c r="BZ156" s="188">
        <v>1191.5423677106883</v>
      </c>
      <c r="CA156" s="180">
        <v>296.88559192767207</v>
      </c>
      <c r="CB156" s="190">
        <v>5</v>
      </c>
      <c r="CC156" s="246">
        <v>22.61904761904762</v>
      </c>
      <c r="CD156" s="431">
        <v>3.5238095238095237</v>
      </c>
      <c r="CF156" s="490">
        <v>1241.344956707452</v>
      </c>
      <c r="CG156" s="481">
        <v>45981.486104705182</v>
      </c>
      <c r="CH156" s="178">
        <v>4.3202960518675546E-2</v>
      </c>
      <c r="CI156" s="246">
        <v>70.396825396825392</v>
      </c>
      <c r="CJ156" s="189">
        <v>26281.091365740733</v>
      </c>
      <c r="CK156" s="281">
        <v>0.7</v>
      </c>
      <c r="CM156" s="240">
        <v>12.5</v>
      </c>
      <c r="CN156" s="241">
        <v>9.000532385947789E-2</v>
      </c>
      <c r="CO156" s="242">
        <v>3.8218390804597693</v>
      </c>
    </row>
    <row r="157" spans="2:93" ht="13.5" customHeight="1" x14ac:dyDescent="0.25">
      <c r="B157" s="540" t="s">
        <v>105</v>
      </c>
      <c r="C157" s="540"/>
      <c r="D157" s="540"/>
      <c r="E157" s="540"/>
      <c r="F157" s="88">
        <v>9000</v>
      </c>
      <c r="G157" s="89">
        <v>9450</v>
      </c>
      <c r="H157" s="90">
        <v>9733.5</v>
      </c>
      <c r="I157" s="90"/>
      <c r="J157" s="103"/>
      <c r="K157" s="91">
        <v>5.0000000000000044E-2</v>
      </c>
      <c r="L157" s="103">
        <v>3.0000000000000027E-2</v>
      </c>
      <c r="M157" s="367">
        <v>6.0851926977687626E-2</v>
      </c>
      <c r="N157" s="367">
        <v>6.1056372153125503E-2</v>
      </c>
      <c r="O157" s="94">
        <v>6.0534238677855366E-2</v>
      </c>
      <c r="P157" s="29"/>
      <c r="Q157" s="345">
        <v>0.68157894736842095</v>
      </c>
      <c r="R157" s="346">
        <v>0.74722222222222234</v>
      </c>
      <c r="S157" s="349">
        <v>0.75480555555555562</v>
      </c>
      <c r="T157" s="93">
        <v>9.6310596310596575E-2</v>
      </c>
      <c r="U157" s="92">
        <v>1.0148698884758334E-2</v>
      </c>
      <c r="V157" s="13"/>
      <c r="W157" s="375">
        <v>5.0000000000000093E-2</v>
      </c>
      <c r="X157" s="376">
        <v>0.1</v>
      </c>
      <c r="Y157" s="377">
        <v>0.1</v>
      </c>
      <c r="AA157" s="366">
        <v>0.63157894736842091</v>
      </c>
      <c r="AB157" s="367">
        <v>0.64722222222222237</v>
      </c>
      <c r="AC157" s="94">
        <v>0.65480555555555564</v>
      </c>
      <c r="AE157" s="95">
        <v>19.999999999999996</v>
      </c>
      <c r="AF157" s="96">
        <v>20.599999999999998</v>
      </c>
      <c r="AG157" s="99">
        <v>21.63</v>
      </c>
      <c r="AH157" s="93">
        <v>0.03</v>
      </c>
      <c r="AI157" s="92">
        <v>0.05</v>
      </c>
      <c r="AK157" s="95">
        <v>23.999999999999996</v>
      </c>
      <c r="AL157" s="96">
        <v>24.719999999999995</v>
      </c>
      <c r="AM157" s="99">
        <v>25.956</v>
      </c>
      <c r="AN157" s="93">
        <v>0.03</v>
      </c>
      <c r="AO157" s="92">
        <v>0.05</v>
      </c>
      <c r="AQ157" s="95">
        <v>20</v>
      </c>
      <c r="AR157" s="96">
        <v>19.515789473684212</v>
      </c>
      <c r="AS157" s="99">
        <v>20.491578947368424</v>
      </c>
      <c r="AT157" s="91">
        <v>-2.421052631578946E-2</v>
      </c>
      <c r="AU157" s="92">
        <v>5.0000000000000044E-2</v>
      </c>
      <c r="AW157" s="88">
        <v>473.68421052631697</v>
      </c>
      <c r="AX157" s="89">
        <v>1050.0000000000007</v>
      </c>
      <c r="AY157" s="90">
        <v>1081.5000000000007</v>
      </c>
      <c r="BA157" s="88">
        <v>5684.2105263157882</v>
      </c>
      <c r="BB157" s="89">
        <v>6116.2500000000018</v>
      </c>
      <c r="BC157" s="90">
        <v>6373.5498750000006</v>
      </c>
      <c r="BE157" s="88">
        <v>3315.7894736842109</v>
      </c>
      <c r="BF157" s="89">
        <v>3333.7499999999986</v>
      </c>
      <c r="BG157" s="89">
        <v>3359.9501249999994</v>
      </c>
      <c r="BI157" s="100">
        <v>9473.6842105263167</v>
      </c>
      <c r="BJ157" s="101">
        <v>10500</v>
      </c>
      <c r="BK157" s="102">
        <v>10815</v>
      </c>
      <c r="BM157" s="88">
        <v>450</v>
      </c>
      <c r="BN157" s="89">
        <v>484.22330097087377</v>
      </c>
      <c r="BO157" s="89">
        <v>474.99999999999994</v>
      </c>
      <c r="BP157" s="91">
        <v>7.6051779935275121E-2</v>
      </c>
      <c r="BQ157" s="92">
        <v>-1.9047619047619091E-2</v>
      </c>
      <c r="BR157" s="367">
        <v>9.9228224917309815E-2</v>
      </c>
      <c r="BS157" s="367">
        <v>0.10045224815957705</v>
      </c>
      <c r="BT157" s="94">
        <v>9.9769296115190823E-2</v>
      </c>
      <c r="BV157" s="88">
        <v>36</v>
      </c>
      <c r="BW157" s="285">
        <v>36</v>
      </c>
      <c r="BX157" s="92">
        <v>0</v>
      </c>
      <c r="BY157" s="88">
        <v>36</v>
      </c>
      <c r="BZ157" s="285">
        <v>10723.881309396194</v>
      </c>
      <c r="CA157" s="92">
        <v>296.88559192767207</v>
      </c>
      <c r="CB157" s="285">
        <v>45</v>
      </c>
      <c r="CC157" s="282">
        <v>203.57142857142858</v>
      </c>
      <c r="CD157" s="92">
        <v>3.5238095238095237</v>
      </c>
      <c r="CF157" s="115">
        <v>11172.104610367067</v>
      </c>
      <c r="CG157" s="102">
        <v>413833.37494234671</v>
      </c>
      <c r="CH157" s="252">
        <v>4.3202960518675539E-2</v>
      </c>
      <c r="CI157" s="115">
        <v>633.57142857142867</v>
      </c>
      <c r="CJ157" s="102">
        <v>236529.82229166655</v>
      </c>
      <c r="CK157" s="308">
        <v>0.69999999999999984</v>
      </c>
      <c r="CM157" s="290">
        <v>12.5</v>
      </c>
      <c r="CN157" s="291">
        <v>9.000532385947789E-2</v>
      </c>
      <c r="CO157" s="292">
        <v>3.8218390804597693</v>
      </c>
    </row>
    <row r="158" spans="2:93" ht="13.5" customHeight="1" x14ac:dyDescent="0.25">
      <c r="B158" s="541" t="s">
        <v>106</v>
      </c>
      <c r="C158" s="541"/>
      <c r="D158" s="541"/>
      <c r="E158" s="541"/>
      <c r="F158" s="4">
        <v>33000</v>
      </c>
      <c r="G158" s="5">
        <v>34650</v>
      </c>
      <c r="H158" s="6">
        <v>35689.5</v>
      </c>
      <c r="I158" s="6"/>
      <c r="J158" s="18"/>
      <c r="K158" s="7">
        <v>5.0000000000000044E-2</v>
      </c>
      <c r="L158" s="18">
        <v>3.0000000000000027E-2</v>
      </c>
      <c r="M158" s="318">
        <v>0.2231237322515213</v>
      </c>
      <c r="N158" s="318">
        <v>0.22387336456146018</v>
      </c>
      <c r="O158" s="9">
        <v>0.22195887515213633</v>
      </c>
      <c r="Q158" s="347">
        <v>0.68157894736842128</v>
      </c>
      <c r="R158" s="348">
        <v>0.74722222222222234</v>
      </c>
      <c r="S158" s="350">
        <v>0.75480555555555584</v>
      </c>
      <c r="T158" s="14">
        <v>9.631059631059613E-2</v>
      </c>
      <c r="U158" s="8">
        <v>1.0148698884758556E-2</v>
      </c>
      <c r="V158" s="13"/>
      <c r="W158" s="379">
        <v>5.000000000000026E-2</v>
      </c>
      <c r="X158" s="380">
        <v>0.1</v>
      </c>
      <c r="Y158" s="381">
        <v>0.10000000000000016</v>
      </c>
      <c r="AA158" s="402">
        <v>0.63157894736842102</v>
      </c>
      <c r="AB158" s="318">
        <v>0.64722222222222237</v>
      </c>
      <c r="AC158" s="9">
        <v>0.65480555555555564</v>
      </c>
      <c r="AE158" s="10">
        <v>19.999999999999996</v>
      </c>
      <c r="AF158" s="11">
        <v>20.599999999999998</v>
      </c>
      <c r="AG158" s="12">
        <v>21.63</v>
      </c>
      <c r="AH158" s="14">
        <v>0.03</v>
      </c>
      <c r="AI158" s="8">
        <v>0.05</v>
      </c>
      <c r="AK158" s="10">
        <v>23.999999999999996</v>
      </c>
      <c r="AL158" s="11">
        <v>24.719999999999995</v>
      </c>
      <c r="AM158" s="12">
        <v>25.956</v>
      </c>
      <c r="AN158" s="14">
        <v>0.03</v>
      </c>
      <c r="AO158" s="8">
        <v>0.05</v>
      </c>
      <c r="AQ158" s="10">
        <v>20</v>
      </c>
      <c r="AR158" s="11">
        <v>19.515789473684212</v>
      </c>
      <c r="AS158" s="12">
        <v>20.491578947368424</v>
      </c>
      <c r="AT158" s="7">
        <v>-2.421052631578946E-2</v>
      </c>
      <c r="AU158" s="8">
        <v>5.0000000000000044E-2</v>
      </c>
      <c r="AW158" s="4">
        <v>1736.8421052631622</v>
      </c>
      <c r="AX158" s="5">
        <v>3850.0000000000027</v>
      </c>
      <c r="AY158" s="6">
        <v>3965.5000000000027</v>
      </c>
      <c r="BA158" s="4">
        <v>20842.105263157893</v>
      </c>
      <c r="BB158" s="5">
        <v>22426.250000000004</v>
      </c>
      <c r="BC158" s="6">
        <v>23369.682875000002</v>
      </c>
      <c r="BE158" s="4">
        <v>12157.894736842105</v>
      </c>
      <c r="BF158" s="5">
        <v>12223.749999999996</v>
      </c>
      <c r="BG158" s="5">
        <v>12319.817124999998</v>
      </c>
      <c r="BI158" s="116">
        <v>34736.842105263167</v>
      </c>
      <c r="BJ158" s="16">
        <v>38500</v>
      </c>
      <c r="BK158" s="17">
        <v>39655.000000000007</v>
      </c>
      <c r="BM158" s="4">
        <v>1650</v>
      </c>
      <c r="BN158" s="5">
        <v>1775.4854368932038</v>
      </c>
      <c r="BO158" s="5">
        <v>1741.6666666666663</v>
      </c>
      <c r="BP158" s="7">
        <v>7.6051779935275121E-2</v>
      </c>
      <c r="BQ158" s="8">
        <v>-1.9047619047619202E-2</v>
      </c>
      <c r="BR158" s="318">
        <v>0.36383682469680262</v>
      </c>
      <c r="BS158" s="318">
        <v>0.36832490991844918</v>
      </c>
      <c r="BT158" s="9">
        <v>0.36582075242236628</v>
      </c>
      <c r="BV158" s="4">
        <v>132</v>
      </c>
      <c r="BW158" s="289">
        <v>132</v>
      </c>
      <c r="BX158" s="200">
        <v>0</v>
      </c>
      <c r="BY158" s="4">
        <v>132</v>
      </c>
      <c r="BZ158" s="289">
        <v>39320.898134452713</v>
      </c>
      <c r="CA158" s="200">
        <v>296.88559192767207</v>
      </c>
      <c r="CB158" s="289">
        <v>165</v>
      </c>
      <c r="CC158" s="284">
        <v>746.42857142857156</v>
      </c>
      <c r="CD158" s="200">
        <v>3.5238095238095246</v>
      </c>
      <c r="CF158" s="117">
        <v>40964.383571345919</v>
      </c>
      <c r="CG158" s="17">
        <v>1517389.0414552712</v>
      </c>
      <c r="CH158" s="253">
        <v>4.3202960518675539E-2</v>
      </c>
      <c r="CI158" s="117">
        <v>2323.0952380952381</v>
      </c>
      <c r="CJ158" s="17">
        <v>867276.0150694442</v>
      </c>
      <c r="CK158" s="309">
        <v>0.69999999999999984</v>
      </c>
      <c r="CM158" s="293">
        <v>12.5</v>
      </c>
      <c r="CN158" s="294">
        <v>9.000532385947789E-2</v>
      </c>
      <c r="CO158" s="295">
        <v>3.8218390804597688</v>
      </c>
    </row>
    <row r="159" spans="2:93" ht="13.5" customHeight="1" x14ac:dyDescent="0.25">
      <c r="N159" s="357"/>
      <c r="O159" s="357"/>
      <c r="Q159" s="357"/>
      <c r="R159" s="357"/>
      <c r="S159" s="357"/>
      <c r="W159" s="387"/>
      <c r="X159" s="387"/>
      <c r="Y159" s="387"/>
      <c r="AA159" s="357"/>
      <c r="AB159" s="357"/>
      <c r="AC159" s="357"/>
      <c r="BR159" s="357"/>
      <c r="BS159" s="357"/>
      <c r="BT159" s="357"/>
      <c r="CH159" s="312"/>
      <c r="CM159" s="302"/>
      <c r="CN159" s="302"/>
      <c r="CO159" s="303"/>
    </row>
    <row r="160" spans="2:93" outlineLevel="1" x14ac:dyDescent="0.25">
      <c r="B160" s="160" t="s">
        <v>107</v>
      </c>
      <c r="C160" s="23" t="s">
        <v>23</v>
      </c>
      <c r="D160" s="23" t="s">
        <v>31</v>
      </c>
      <c r="E160" s="198" t="s">
        <v>108</v>
      </c>
      <c r="F160" s="453">
        <v>1000</v>
      </c>
      <c r="G160" s="162">
        <v>1050</v>
      </c>
      <c r="H160" s="162">
        <v>1081.5</v>
      </c>
      <c r="I160" s="161"/>
      <c r="J160" s="167"/>
      <c r="K160" s="168">
        <v>0.05</v>
      </c>
      <c r="L160" s="169">
        <v>0.03</v>
      </c>
      <c r="M160" s="408">
        <v>6.7613252197430695E-3</v>
      </c>
      <c r="N160" s="408">
        <v>6.7840413503472783E-3</v>
      </c>
      <c r="O160" s="409">
        <v>6.7260265197617072E-3</v>
      </c>
      <c r="P160" s="29"/>
      <c r="Q160" s="460">
        <v>0.65</v>
      </c>
      <c r="R160" s="342">
        <v>0.68250000000000011</v>
      </c>
      <c r="S160" s="355">
        <v>0.68932500000000008</v>
      </c>
      <c r="T160" s="170">
        <v>0.05</v>
      </c>
      <c r="U160" s="171">
        <v>0.01</v>
      </c>
      <c r="V160" s="29"/>
      <c r="W160" s="466">
        <v>0.05</v>
      </c>
      <c r="X160" s="485">
        <v>0.1</v>
      </c>
      <c r="Y160" s="388">
        <v>0.1</v>
      </c>
      <c r="AA160" s="407">
        <v>0.63157894736842102</v>
      </c>
      <c r="AB160" s="408">
        <v>0.64722222222222237</v>
      </c>
      <c r="AC160" s="409">
        <v>0.65480555555555564</v>
      </c>
      <c r="AE160" s="172">
        <v>21.05263157894737</v>
      </c>
      <c r="AF160" s="44">
        <v>21.684210526315791</v>
      </c>
      <c r="AG160" s="45">
        <v>22.768421052631581</v>
      </c>
      <c r="AH160" s="170">
        <v>0.03</v>
      </c>
      <c r="AI160" s="171">
        <v>0.05</v>
      </c>
      <c r="AK160" s="172">
        <v>25.263157894736842</v>
      </c>
      <c r="AL160" s="44">
        <v>26.02105263157895</v>
      </c>
      <c r="AM160" s="45">
        <v>27.322105263157898</v>
      </c>
      <c r="AN160" s="441">
        <v>0.03</v>
      </c>
      <c r="AO160" s="442">
        <v>0.05</v>
      </c>
      <c r="AQ160" s="172">
        <v>20</v>
      </c>
      <c r="AR160" s="220">
        <v>19.515789473684212</v>
      </c>
      <c r="AS160" s="221">
        <v>20.491578947368424</v>
      </c>
      <c r="AT160" s="163">
        <v>-2.421052631578946E-2</v>
      </c>
      <c r="AU160" s="164">
        <v>5.0000000000000044E-2</v>
      </c>
      <c r="AW160" s="173">
        <v>52.631578947368553</v>
      </c>
      <c r="AX160" s="162">
        <v>116.66666666666674</v>
      </c>
      <c r="AY160" s="162">
        <v>120.16666666666674</v>
      </c>
      <c r="BA160" s="173">
        <v>631.57894736842104</v>
      </c>
      <c r="BB160" s="162">
        <v>679.58333333333348</v>
      </c>
      <c r="BC160" s="162">
        <v>708.1722083333334</v>
      </c>
      <c r="BE160" s="222">
        <v>368.42105263157896</v>
      </c>
      <c r="BF160" s="162">
        <v>370.41666666666652</v>
      </c>
      <c r="BG160" s="162">
        <v>373.3277916666666</v>
      </c>
      <c r="BI160" s="173">
        <v>1052.6315789473686</v>
      </c>
      <c r="BJ160" s="162">
        <v>1166.6666666666667</v>
      </c>
      <c r="BK160" s="174">
        <v>1201.6666666666667</v>
      </c>
      <c r="BM160" s="453">
        <v>50</v>
      </c>
      <c r="BN160" s="162">
        <v>53.802588996763753</v>
      </c>
      <c r="BO160" s="162">
        <v>52.777777777777771</v>
      </c>
      <c r="BP160" s="163">
        <v>7.6051779935275121E-2</v>
      </c>
      <c r="BQ160" s="164">
        <v>-1.9047619047619091E-2</v>
      </c>
      <c r="BR160" s="408">
        <v>1.1025358324145534E-2</v>
      </c>
      <c r="BS160" s="408">
        <v>1.1161360906619672E-2</v>
      </c>
      <c r="BT160" s="409">
        <v>1.1085477346132314E-2</v>
      </c>
      <c r="BV160" s="453">
        <v>4</v>
      </c>
      <c r="BW160" s="472">
        <v>4</v>
      </c>
      <c r="BX160" s="165">
        <v>0</v>
      </c>
      <c r="BY160" s="453">
        <v>4</v>
      </c>
      <c r="BZ160" s="173">
        <v>1191.5423677106883</v>
      </c>
      <c r="CA160" s="165">
        <v>296.88559192767207</v>
      </c>
      <c r="CB160" s="175">
        <v>5</v>
      </c>
      <c r="CC160" s="245">
        <v>22.61904761904762</v>
      </c>
      <c r="CD160" s="429">
        <v>3.5238095238095237</v>
      </c>
      <c r="CF160" s="489">
        <v>1241.344956707452</v>
      </c>
      <c r="CG160" s="480">
        <v>45981.486104705182</v>
      </c>
      <c r="CH160" s="163">
        <v>4.3202960518675546E-2</v>
      </c>
      <c r="CI160" s="245">
        <v>70.396825396825392</v>
      </c>
      <c r="CJ160" s="174">
        <v>26281.091365740733</v>
      </c>
      <c r="CK160" s="280">
        <v>0.7</v>
      </c>
      <c r="CM160" s="237">
        <v>12.5</v>
      </c>
      <c r="CN160" s="238">
        <v>9.000532385947789E-2</v>
      </c>
      <c r="CO160" s="239">
        <v>3.8218390804597693</v>
      </c>
    </row>
    <row r="161" spans="2:93" outlineLevel="1" x14ac:dyDescent="0.25">
      <c r="B161" s="15"/>
      <c r="C161" s="53"/>
      <c r="D161" s="53"/>
      <c r="E161" s="198" t="s">
        <v>109</v>
      </c>
      <c r="F161" s="454">
        <v>1000</v>
      </c>
      <c r="G161" s="177">
        <v>1050</v>
      </c>
      <c r="H161" s="177">
        <v>1081.5</v>
      </c>
      <c r="I161" s="176"/>
      <c r="J161" s="182"/>
      <c r="K161" s="183">
        <v>0.05</v>
      </c>
      <c r="L161" s="184">
        <v>0.03</v>
      </c>
      <c r="M161" s="411">
        <v>6.7613252197430695E-3</v>
      </c>
      <c r="N161" s="411">
        <v>6.7840413503472783E-3</v>
      </c>
      <c r="O161" s="412">
        <v>6.7260265197617072E-3</v>
      </c>
      <c r="P161" s="29"/>
      <c r="Q161" s="461">
        <v>0.65</v>
      </c>
      <c r="R161" s="343">
        <v>0.68250000000000011</v>
      </c>
      <c r="S161" s="356">
        <v>0.68932500000000008</v>
      </c>
      <c r="T161" s="185">
        <v>0.05</v>
      </c>
      <c r="U161" s="186">
        <v>0.01</v>
      </c>
      <c r="W161" s="467">
        <v>0.05</v>
      </c>
      <c r="X161" s="486">
        <v>0.1</v>
      </c>
      <c r="Y161" s="389">
        <v>0.1</v>
      </c>
      <c r="AA161" s="410">
        <v>0.63157894736842102</v>
      </c>
      <c r="AB161" s="411">
        <v>0.64722222222222237</v>
      </c>
      <c r="AC161" s="412">
        <v>0.65480555555555564</v>
      </c>
      <c r="AE161" s="187">
        <v>21.05263157894737</v>
      </c>
      <c r="AF161" s="62">
        <v>21.684210526315791</v>
      </c>
      <c r="AG161" s="69">
        <v>22.768421052631581</v>
      </c>
      <c r="AH161" s="185">
        <v>0.03</v>
      </c>
      <c r="AI161" s="186">
        <v>0.05</v>
      </c>
      <c r="AK161" s="187">
        <v>25.263157894736842</v>
      </c>
      <c r="AL161" s="62">
        <v>26.02105263157895</v>
      </c>
      <c r="AM161" s="69">
        <v>27.322105263157898</v>
      </c>
      <c r="AN161" s="420">
        <v>0.03</v>
      </c>
      <c r="AO161" s="443">
        <v>0.05</v>
      </c>
      <c r="AQ161" s="187">
        <v>20</v>
      </c>
      <c r="AR161" s="64">
        <v>19.515789473684212</v>
      </c>
      <c r="AS161" s="65">
        <v>20.491578947368424</v>
      </c>
      <c r="AT161" s="178">
        <v>-2.421052631578946E-2</v>
      </c>
      <c r="AU161" s="179">
        <v>5.0000000000000044E-2</v>
      </c>
      <c r="AW161" s="188">
        <v>52.631578947368553</v>
      </c>
      <c r="AX161" s="177">
        <v>116.66666666666674</v>
      </c>
      <c r="AY161" s="177">
        <v>120.16666666666674</v>
      </c>
      <c r="BA161" s="188">
        <v>631.57894736842104</v>
      </c>
      <c r="BB161" s="177">
        <v>679.58333333333348</v>
      </c>
      <c r="BC161" s="177">
        <v>708.1722083333334</v>
      </c>
      <c r="BE161" s="223">
        <v>368.42105263157896</v>
      </c>
      <c r="BF161" s="177">
        <v>370.41666666666652</v>
      </c>
      <c r="BG161" s="177">
        <v>373.3277916666666</v>
      </c>
      <c r="BI161" s="188">
        <v>1052.6315789473686</v>
      </c>
      <c r="BJ161" s="177">
        <v>1166.6666666666667</v>
      </c>
      <c r="BK161" s="189">
        <v>1201.6666666666667</v>
      </c>
      <c r="BM161" s="454">
        <v>50</v>
      </c>
      <c r="BN161" s="177">
        <v>53.802588996763753</v>
      </c>
      <c r="BO161" s="177">
        <v>52.777777777777771</v>
      </c>
      <c r="BP161" s="178">
        <v>7.6051779935275121E-2</v>
      </c>
      <c r="BQ161" s="179">
        <v>-1.9047619047619091E-2</v>
      </c>
      <c r="BR161" s="411">
        <v>1.1025358324145534E-2</v>
      </c>
      <c r="BS161" s="411">
        <v>1.1161360906619672E-2</v>
      </c>
      <c r="BT161" s="412">
        <v>1.1085477346132314E-2</v>
      </c>
      <c r="BV161" s="454">
        <v>4</v>
      </c>
      <c r="BW161" s="473">
        <v>4</v>
      </c>
      <c r="BX161" s="180">
        <v>0</v>
      </c>
      <c r="BY161" s="454">
        <v>4</v>
      </c>
      <c r="BZ161" s="188">
        <v>1191.5423677106883</v>
      </c>
      <c r="CA161" s="180">
        <v>296.88559192767207</v>
      </c>
      <c r="CB161" s="190">
        <v>5</v>
      </c>
      <c r="CC161" s="246">
        <v>22.61904761904762</v>
      </c>
      <c r="CD161" s="430">
        <v>3.5238095238095237</v>
      </c>
      <c r="CF161" s="490">
        <v>1241.344956707452</v>
      </c>
      <c r="CG161" s="481">
        <v>45981.486104705182</v>
      </c>
      <c r="CH161" s="178">
        <v>4.3202960518675546E-2</v>
      </c>
      <c r="CI161" s="246">
        <v>70.396825396825392</v>
      </c>
      <c r="CJ161" s="189">
        <v>26281.091365740733</v>
      </c>
      <c r="CK161" s="281">
        <v>0.7</v>
      </c>
      <c r="CM161" s="240">
        <v>12.5</v>
      </c>
      <c r="CN161" s="241">
        <v>9.000532385947789E-2</v>
      </c>
      <c r="CO161" s="242">
        <v>3.8218390804597693</v>
      </c>
    </row>
    <row r="162" spans="2:93" outlineLevel="1" x14ac:dyDescent="0.25">
      <c r="B162" s="15"/>
      <c r="C162" s="53"/>
      <c r="D162" s="53"/>
      <c r="E162" s="198" t="s">
        <v>110</v>
      </c>
      <c r="F162" s="454">
        <v>1000</v>
      </c>
      <c r="G162" s="177">
        <v>1050</v>
      </c>
      <c r="H162" s="177">
        <v>1081.5</v>
      </c>
      <c r="I162" s="176"/>
      <c r="J162" s="182"/>
      <c r="K162" s="183">
        <v>0.05</v>
      </c>
      <c r="L162" s="184">
        <v>0.03</v>
      </c>
      <c r="M162" s="411">
        <v>6.7613252197430695E-3</v>
      </c>
      <c r="N162" s="411">
        <v>6.7840413503472783E-3</v>
      </c>
      <c r="O162" s="412">
        <v>6.7260265197617072E-3</v>
      </c>
      <c r="P162" s="29"/>
      <c r="Q162" s="461">
        <v>0.65</v>
      </c>
      <c r="R162" s="343">
        <v>0.68250000000000011</v>
      </c>
      <c r="S162" s="356">
        <v>0.68932500000000008</v>
      </c>
      <c r="T162" s="185">
        <v>0.05</v>
      </c>
      <c r="U162" s="186">
        <v>0.01</v>
      </c>
      <c r="W162" s="467">
        <v>0.05</v>
      </c>
      <c r="X162" s="486">
        <v>0.1</v>
      </c>
      <c r="Y162" s="389">
        <v>0.1</v>
      </c>
      <c r="AA162" s="410">
        <v>0.63157894736842102</v>
      </c>
      <c r="AB162" s="411">
        <v>0.64722222222222237</v>
      </c>
      <c r="AC162" s="412">
        <v>0.65480555555555564</v>
      </c>
      <c r="AE162" s="187">
        <v>21.05263157894737</v>
      </c>
      <c r="AF162" s="62">
        <v>21.684210526315791</v>
      </c>
      <c r="AG162" s="69">
        <v>22.768421052631581</v>
      </c>
      <c r="AH162" s="185">
        <v>0.03</v>
      </c>
      <c r="AI162" s="186">
        <v>0.05</v>
      </c>
      <c r="AK162" s="187">
        <v>25.263157894736842</v>
      </c>
      <c r="AL162" s="62">
        <v>26.02105263157895</v>
      </c>
      <c r="AM162" s="69">
        <v>27.322105263157898</v>
      </c>
      <c r="AN162" s="420">
        <v>0.03</v>
      </c>
      <c r="AO162" s="443">
        <v>0.05</v>
      </c>
      <c r="AQ162" s="187">
        <v>20</v>
      </c>
      <c r="AR162" s="64">
        <v>19.515789473684212</v>
      </c>
      <c r="AS162" s="65">
        <v>20.491578947368424</v>
      </c>
      <c r="AT162" s="178">
        <v>-2.421052631578946E-2</v>
      </c>
      <c r="AU162" s="179">
        <v>5.0000000000000044E-2</v>
      </c>
      <c r="AW162" s="188">
        <v>52.631578947368553</v>
      </c>
      <c r="AX162" s="177">
        <v>116.66666666666674</v>
      </c>
      <c r="AY162" s="177">
        <v>120.16666666666674</v>
      </c>
      <c r="BA162" s="188">
        <v>631.57894736842104</v>
      </c>
      <c r="BB162" s="177">
        <v>679.58333333333348</v>
      </c>
      <c r="BC162" s="177">
        <v>708.1722083333334</v>
      </c>
      <c r="BE162" s="223">
        <v>368.42105263157896</v>
      </c>
      <c r="BF162" s="177">
        <v>370.41666666666652</v>
      </c>
      <c r="BG162" s="177">
        <v>373.3277916666666</v>
      </c>
      <c r="BI162" s="188">
        <v>1052.6315789473686</v>
      </c>
      <c r="BJ162" s="177">
        <v>1166.6666666666667</v>
      </c>
      <c r="BK162" s="189">
        <v>1201.6666666666667</v>
      </c>
      <c r="BM162" s="454">
        <v>50</v>
      </c>
      <c r="BN162" s="177">
        <v>53.802588996763753</v>
      </c>
      <c r="BO162" s="177">
        <v>52.777777777777771</v>
      </c>
      <c r="BP162" s="178">
        <v>7.6051779935275121E-2</v>
      </c>
      <c r="BQ162" s="179">
        <v>-1.9047619047619091E-2</v>
      </c>
      <c r="BR162" s="411">
        <v>1.1025358324145534E-2</v>
      </c>
      <c r="BS162" s="411">
        <v>1.1161360906619672E-2</v>
      </c>
      <c r="BT162" s="412">
        <v>1.1085477346132314E-2</v>
      </c>
      <c r="BV162" s="454">
        <v>4</v>
      </c>
      <c r="BW162" s="473">
        <v>4</v>
      </c>
      <c r="BX162" s="180">
        <v>0</v>
      </c>
      <c r="BY162" s="454">
        <v>4</v>
      </c>
      <c r="BZ162" s="188">
        <v>1191.5423677106883</v>
      </c>
      <c r="CA162" s="180">
        <v>296.88559192767207</v>
      </c>
      <c r="CB162" s="190">
        <v>5</v>
      </c>
      <c r="CC162" s="246">
        <v>22.61904761904762</v>
      </c>
      <c r="CD162" s="430">
        <v>3.5238095238095237</v>
      </c>
      <c r="CF162" s="490">
        <v>1241.344956707452</v>
      </c>
      <c r="CG162" s="481">
        <v>45981.486104705182</v>
      </c>
      <c r="CH162" s="178">
        <v>4.3202960518675546E-2</v>
      </c>
      <c r="CI162" s="246">
        <v>70.396825396825392</v>
      </c>
      <c r="CJ162" s="189">
        <v>26281.091365740733</v>
      </c>
      <c r="CK162" s="281">
        <v>0.7</v>
      </c>
      <c r="CM162" s="240">
        <v>12.5</v>
      </c>
      <c r="CN162" s="241">
        <v>9.000532385947789E-2</v>
      </c>
      <c r="CO162" s="242">
        <v>3.8218390804597693</v>
      </c>
    </row>
    <row r="163" spans="2:93" outlineLevel="1" x14ac:dyDescent="0.25">
      <c r="B163" s="199"/>
      <c r="C163" s="73"/>
      <c r="D163" s="73"/>
      <c r="E163" s="198" t="s">
        <v>111</v>
      </c>
      <c r="F163" s="454">
        <v>1000</v>
      </c>
      <c r="G163" s="177">
        <v>1050</v>
      </c>
      <c r="H163" s="177">
        <v>1081.5</v>
      </c>
      <c r="I163" s="191"/>
      <c r="J163" s="182"/>
      <c r="K163" s="183">
        <v>0.05</v>
      </c>
      <c r="L163" s="196">
        <v>0.03</v>
      </c>
      <c r="M163" s="411">
        <v>6.7613252197430695E-3</v>
      </c>
      <c r="N163" s="411">
        <v>6.7840413503472783E-3</v>
      </c>
      <c r="O163" s="412">
        <v>6.7260265197617072E-3</v>
      </c>
      <c r="P163" s="29"/>
      <c r="Q163" s="462">
        <v>0.65</v>
      </c>
      <c r="R163" s="344">
        <v>0.68250000000000011</v>
      </c>
      <c r="S163" s="361">
        <v>0.68932500000000008</v>
      </c>
      <c r="T163" s="185">
        <v>0.05</v>
      </c>
      <c r="U163" s="186">
        <v>0.01</v>
      </c>
      <c r="W163" s="467">
        <v>0.05</v>
      </c>
      <c r="X163" s="486">
        <v>0.1</v>
      </c>
      <c r="Y163" s="389">
        <v>0.1</v>
      </c>
      <c r="AA163" s="410">
        <v>0.63157894736842102</v>
      </c>
      <c r="AB163" s="411">
        <v>0.64722222222222237</v>
      </c>
      <c r="AC163" s="412">
        <v>0.65480555555555564</v>
      </c>
      <c r="AE163" s="201">
        <v>21.05263157894737</v>
      </c>
      <c r="AF163" s="82">
        <v>21.684210526315791</v>
      </c>
      <c r="AG163" s="122">
        <v>22.768421052631581</v>
      </c>
      <c r="AH163" s="185">
        <v>0.03</v>
      </c>
      <c r="AI163" s="186">
        <v>0.05</v>
      </c>
      <c r="AK163" s="201">
        <v>25.263157894736842</v>
      </c>
      <c r="AL163" s="82">
        <v>26.02105263157895</v>
      </c>
      <c r="AM163" s="122">
        <v>27.322105263157898</v>
      </c>
      <c r="AN163" s="420">
        <v>0.03</v>
      </c>
      <c r="AO163" s="443">
        <v>0.05</v>
      </c>
      <c r="AQ163" s="201">
        <v>20</v>
      </c>
      <c r="AR163" s="84">
        <v>19.515789473684212</v>
      </c>
      <c r="AS163" s="85">
        <v>20.491578947368424</v>
      </c>
      <c r="AT163" s="178">
        <v>-2.421052631578946E-2</v>
      </c>
      <c r="AU163" s="179">
        <v>5.0000000000000044E-2</v>
      </c>
      <c r="AW163" s="188">
        <v>52.631578947368553</v>
      </c>
      <c r="AX163" s="177">
        <v>116.66666666666674</v>
      </c>
      <c r="AY163" s="177">
        <v>120.16666666666674</v>
      </c>
      <c r="BA163" s="188">
        <v>631.57894736842104</v>
      </c>
      <c r="BB163" s="177">
        <v>679.58333333333348</v>
      </c>
      <c r="BC163" s="177">
        <v>708.1722083333334</v>
      </c>
      <c r="BE163" s="223">
        <v>368.42105263157896</v>
      </c>
      <c r="BF163" s="177">
        <v>370.41666666666652</v>
      </c>
      <c r="BG163" s="177">
        <v>373.3277916666666</v>
      </c>
      <c r="BI163" s="188">
        <v>1052.6315789473686</v>
      </c>
      <c r="BJ163" s="177">
        <v>1166.6666666666667</v>
      </c>
      <c r="BK163" s="189">
        <v>1201.6666666666667</v>
      </c>
      <c r="BM163" s="454">
        <v>50</v>
      </c>
      <c r="BN163" s="177">
        <v>53.802588996763753</v>
      </c>
      <c r="BO163" s="177">
        <v>52.777777777777771</v>
      </c>
      <c r="BP163" s="178">
        <v>7.6051779935275121E-2</v>
      </c>
      <c r="BQ163" s="179">
        <v>-1.9047619047619091E-2</v>
      </c>
      <c r="BR163" s="411">
        <v>1.1025358324145534E-2</v>
      </c>
      <c r="BS163" s="411">
        <v>1.1161360906619672E-2</v>
      </c>
      <c r="BT163" s="412">
        <v>1.1085477346132314E-2</v>
      </c>
      <c r="BV163" s="454">
        <v>4</v>
      </c>
      <c r="BW163" s="473">
        <v>4</v>
      </c>
      <c r="BX163" s="180">
        <v>0</v>
      </c>
      <c r="BY163" s="454">
        <v>4</v>
      </c>
      <c r="BZ163" s="188">
        <v>1191.5423677106883</v>
      </c>
      <c r="CA163" s="180">
        <v>296.88559192767207</v>
      </c>
      <c r="CB163" s="190">
        <v>5</v>
      </c>
      <c r="CC163" s="246">
        <v>22.61904761904762</v>
      </c>
      <c r="CD163" s="430">
        <v>3.5238095238095237</v>
      </c>
      <c r="CF163" s="490">
        <v>1241.344956707452</v>
      </c>
      <c r="CG163" s="481">
        <v>45981.486104705182</v>
      </c>
      <c r="CH163" s="178">
        <v>4.3202960518675546E-2</v>
      </c>
      <c r="CI163" s="246">
        <v>70.396825396825392</v>
      </c>
      <c r="CJ163" s="189">
        <v>26281.091365740733</v>
      </c>
      <c r="CK163" s="281">
        <v>0.7</v>
      </c>
      <c r="CM163" s="240">
        <v>12.5</v>
      </c>
      <c r="CN163" s="241">
        <v>9.000532385947789E-2</v>
      </c>
      <c r="CO163" s="242">
        <v>3.8218390804597693</v>
      </c>
    </row>
    <row r="164" spans="2:93" ht="13.5" customHeight="1" x14ac:dyDescent="0.25">
      <c r="B164" s="540" t="s">
        <v>112</v>
      </c>
      <c r="C164" s="540"/>
      <c r="D164" s="540"/>
      <c r="E164" s="540"/>
      <c r="F164" s="88">
        <v>4000</v>
      </c>
      <c r="G164" s="89">
        <v>4200</v>
      </c>
      <c r="H164" s="89">
        <v>4326</v>
      </c>
      <c r="I164" s="89"/>
      <c r="J164" s="103"/>
      <c r="K164" s="91">
        <v>5.0000000000000044E-2</v>
      </c>
      <c r="L164" s="103">
        <v>3.0000000000000027E-2</v>
      </c>
      <c r="M164" s="367">
        <v>2.7045300878972278E-2</v>
      </c>
      <c r="N164" s="367">
        <v>2.7136165401389113E-2</v>
      </c>
      <c r="O164" s="94">
        <v>2.6904106079046829E-2</v>
      </c>
      <c r="P164" s="29"/>
      <c r="Q164" s="345">
        <v>0.68157894736842117</v>
      </c>
      <c r="R164" s="346">
        <v>0.74722222222222245</v>
      </c>
      <c r="S164" s="349">
        <v>0.75480555555555573</v>
      </c>
      <c r="T164" s="93">
        <v>9.6310596310596353E-2</v>
      </c>
      <c r="U164" s="92">
        <v>1.0148698884758334E-2</v>
      </c>
      <c r="V164" s="13"/>
      <c r="W164" s="375">
        <v>5.0000000000000121E-2</v>
      </c>
      <c r="X164" s="376">
        <v>0.10000000000000006</v>
      </c>
      <c r="Y164" s="377">
        <v>0.10000000000000006</v>
      </c>
      <c r="AA164" s="366">
        <v>0.63157894736842102</v>
      </c>
      <c r="AB164" s="367">
        <v>0.64722222222222237</v>
      </c>
      <c r="AC164" s="94">
        <v>0.65480555555555564</v>
      </c>
      <c r="AE164" s="95">
        <v>19.999999999999996</v>
      </c>
      <c r="AF164" s="96">
        <v>20.599999999999998</v>
      </c>
      <c r="AG164" s="99">
        <v>21.63</v>
      </c>
      <c r="AH164" s="93">
        <v>0.03</v>
      </c>
      <c r="AI164" s="92">
        <v>0.05</v>
      </c>
      <c r="AK164" s="95">
        <v>23.999999999999996</v>
      </c>
      <c r="AL164" s="96">
        <v>24.719999999999995</v>
      </c>
      <c r="AM164" s="99">
        <v>25.956</v>
      </c>
      <c r="AN164" s="93">
        <v>0.03</v>
      </c>
      <c r="AO164" s="92">
        <v>0.05</v>
      </c>
      <c r="AQ164" s="95">
        <v>20</v>
      </c>
      <c r="AR164" s="96">
        <v>19.515789473684212</v>
      </c>
      <c r="AS164" s="99">
        <v>20.491578947368424</v>
      </c>
      <c r="AT164" s="91">
        <v>-2.421052631578946E-2</v>
      </c>
      <c r="AU164" s="92">
        <v>5.0000000000000044E-2</v>
      </c>
      <c r="AW164" s="88">
        <v>210.52631578947421</v>
      </c>
      <c r="AX164" s="89">
        <v>466.66666666666697</v>
      </c>
      <c r="AY164" s="89">
        <v>480.66666666666697</v>
      </c>
      <c r="BA164" s="88">
        <v>2526.3157894736842</v>
      </c>
      <c r="BB164" s="89">
        <v>2718.3333333333339</v>
      </c>
      <c r="BC164" s="89">
        <v>2832.6888333333336</v>
      </c>
      <c r="BE164" s="88">
        <v>1473.6842105263158</v>
      </c>
      <c r="BF164" s="89">
        <v>1481.6666666666661</v>
      </c>
      <c r="BG164" s="89">
        <v>1493.3111666666664</v>
      </c>
      <c r="BI164" s="100">
        <v>4210.5263157894742</v>
      </c>
      <c r="BJ164" s="101">
        <v>4666.666666666667</v>
      </c>
      <c r="BK164" s="102">
        <v>4806.666666666667</v>
      </c>
      <c r="BM164" s="88">
        <v>200</v>
      </c>
      <c r="BN164" s="89">
        <v>215.21035598705501</v>
      </c>
      <c r="BO164" s="89">
        <v>211.11111111111109</v>
      </c>
      <c r="BP164" s="91">
        <v>7.6051779935275121E-2</v>
      </c>
      <c r="BQ164" s="92">
        <v>-1.9047619047619091E-2</v>
      </c>
      <c r="BR164" s="367">
        <v>4.4101433296582136E-2</v>
      </c>
      <c r="BS164" s="367">
        <v>4.4645443626478688E-2</v>
      </c>
      <c r="BT164" s="94">
        <v>4.4341909384529254E-2</v>
      </c>
      <c r="BV164" s="88">
        <v>16</v>
      </c>
      <c r="BW164" s="285">
        <v>16</v>
      </c>
      <c r="BX164" s="93">
        <v>0</v>
      </c>
      <c r="BY164" s="88">
        <v>16</v>
      </c>
      <c r="BZ164" s="285">
        <v>4766.1694708427531</v>
      </c>
      <c r="CA164" s="93">
        <v>296.88559192767207</v>
      </c>
      <c r="CB164" s="285">
        <v>20</v>
      </c>
      <c r="CC164" s="282">
        <v>90.476190476190482</v>
      </c>
      <c r="CD164" s="103">
        <v>3.5238095238095237</v>
      </c>
      <c r="CF164" s="115">
        <v>4965.3798268298078</v>
      </c>
      <c r="CG164" s="102">
        <v>183925.94441882073</v>
      </c>
      <c r="CH164" s="252">
        <v>4.3202960518675546E-2</v>
      </c>
      <c r="CI164" s="115">
        <v>281.58730158730157</v>
      </c>
      <c r="CJ164" s="102">
        <v>105124.36546296293</v>
      </c>
      <c r="CK164" s="308">
        <v>0.7</v>
      </c>
      <c r="CM164" s="290">
        <v>12.5</v>
      </c>
      <c r="CN164" s="291">
        <v>9.000532385947789E-2</v>
      </c>
      <c r="CO164" s="292">
        <v>3.8218390804597693</v>
      </c>
    </row>
    <row r="165" spans="2:93" outlineLevel="1" x14ac:dyDescent="0.25">
      <c r="B165" s="160" t="s">
        <v>107</v>
      </c>
      <c r="C165" s="23" t="s">
        <v>23</v>
      </c>
      <c r="D165" s="23" t="s">
        <v>113</v>
      </c>
      <c r="E165" s="198" t="s">
        <v>108</v>
      </c>
      <c r="F165" s="454">
        <v>1000</v>
      </c>
      <c r="G165" s="177">
        <v>1050</v>
      </c>
      <c r="H165" s="177">
        <v>1081.5</v>
      </c>
      <c r="I165" s="161"/>
      <c r="J165" s="182"/>
      <c r="K165" s="183">
        <v>0.05</v>
      </c>
      <c r="L165" s="184">
        <v>0.03</v>
      </c>
      <c r="M165" s="411">
        <v>6.7613252197430695E-3</v>
      </c>
      <c r="N165" s="411">
        <v>6.7840413503472783E-3</v>
      </c>
      <c r="O165" s="412">
        <v>6.7260265197617072E-3</v>
      </c>
      <c r="P165" s="29"/>
      <c r="Q165" s="460">
        <v>0.65</v>
      </c>
      <c r="R165" s="342">
        <v>0.68250000000000011</v>
      </c>
      <c r="S165" s="355">
        <v>0.68932500000000008</v>
      </c>
      <c r="T165" s="185">
        <v>0.05</v>
      </c>
      <c r="U165" s="186">
        <v>0.01</v>
      </c>
      <c r="V165" s="29"/>
      <c r="W165" s="467">
        <v>0.05</v>
      </c>
      <c r="X165" s="486">
        <v>0.1</v>
      </c>
      <c r="Y165" s="389">
        <v>0.1</v>
      </c>
      <c r="AA165" s="410">
        <v>0.63157894736842102</v>
      </c>
      <c r="AB165" s="411">
        <v>0.64722222222222237</v>
      </c>
      <c r="AC165" s="412">
        <v>0.65480555555555564</v>
      </c>
      <c r="AE165" s="172">
        <v>21.05263157894737</v>
      </c>
      <c r="AF165" s="44">
        <v>21.684210526315791</v>
      </c>
      <c r="AG165" s="45">
        <v>22.768421052631581</v>
      </c>
      <c r="AH165" s="185">
        <v>0.03</v>
      </c>
      <c r="AI165" s="186">
        <v>0.05</v>
      </c>
      <c r="AK165" s="172">
        <v>25.263157894736842</v>
      </c>
      <c r="AL165" s="44">
        <v>26.02105263157895</v>
      </c>
      <c r="AM165" s="45">
        <v>27.322105263157898</v>
      </c>
      <c r="AN165" s="420">
        <v>0.03</v>
      </c>
      <c r="AO165" s="443">
        <v>0.05</v>
      </c>
      <c r="AQ165" s="172">
        <v>20</v>
      </c>
      <c r="AR165" s="220">
        <v>19.515789473684212</v>
      </c>
      <c r="AS165" s="221">
        <v>20.491578947368424</v>
      </c>
      <c r="AT165" s="178">
        <v>-2.421052631578946E-2</v>
      </c>
      <c r="AU165" s="179">
        <v>5.0000000000000044E-2</v>
      </c>
      <c r="AW165" s="188">
        <v>52.631578947368553</v>
      </c>
      <c r="AX165" s="177">
        <v>116.66666666666674</v>
      </c>
      <c r="AY165" s="177">
        <v>120.16666666666674</v>
      </c>
      <c r="BA165" s="188">
        <v>631.57894736842104</v>
      </c>
      <c r="BB165" s="177">
        <v>679.58333333333348</v>
      </c>
      <c r="BC165" s="177">
        <v>708.1722083333334</v>
      </c>
      <c r="BE165" s="223">
        <v>368.42105263157896</v>
      </c>
      <c r="BF165" s="177">
        <v>370.41666666666652</v>
      </c>
      <c r="BG165" s="177">
        <v>373.3277916666666</v>
      </c>
      <c r="BI165" s="188">
        <v>1052.6315789473686</v>
      </c>
      <c r="BJ165" s="177">
        <v>1166.6666666666667</v>
      </c>
      <c r="BK165" s="189">
        <v>1201.6666666666667</v>
      </c>
      <c r="BM165" s="454">
        <v>50</v>
      </c>
      <c r="BN165" s="177">
        <v>53.802588996763753</v>
      </c>
      <c r="BO165" s="177">
        <v>52.777777777777771</v>
      </c>
      <c r="BP165" s="178">
        <v>7.6051779935275121E-2</v>
      </c>
      <c r="BQ165" s="179">
        <v>-1.9047619047619091E-2</v>
      </c>
      <c r="BR165" s="411">
        <v>1.1025358324145534E-2</v>
      </c>
      <c r="BS165" s="411">
        <v>1.1161360906619672E-2</v>
      </c>
      <c r="BT165" s="412">
        <v>1.1085477346132314E-2</v>
      </c>
      <c r="BV165" s="454">
        <v>4</v>
      </c>
      <c r="BW165" s="473">
        <v>4</v>
      </c>
      <c r="BX165" s="180">
        <v>0</v>
      </c>
      <c r="BY165" s="454">
        <v>4</v>
      </c>
      <c r="BZ165" s="188">
        <v>1191.5423677106883</v>
      </c>
      <c r="CA165" s="180">
        <v>296.88559192767207</v>
      </c>
      <c r="CB165" s="190">
        <v>5</v>
      </c>
      <c r="CC165" s="246">
        <v>22.61904761904762</v>
      </c>
      <c r="CD165" s="430">
        <v>3.5238095238095237</v>
      </c>
      <c r="CF165" s="490">
        <v>1241.344956707452</v>
      </c>
      <c r="CG165" s="481">
        <v>45981.486104705182</v>
      </c>
      <c r="CH165" s="178">
        <v>4.3202960518675546E-2</v>
      </c>
      <c r="CI165" s="246">
        <v>70.396825396825392</v>
      </c>
      <c r="CJ165" s="189">
        <v>26281.091365740733</v>
      </c>
      <c r="CK165" s="281">
        <v>0.7</v>
      </c>
      <c r="CM165" s="240">
        <v>12.5</v>
      </c>
      <c r="CN165" s="241">
        <v>9.000532385947789E-2</v>
      </c>
      <c r="CO165" s="242">
        <v>3.8218390804597693</v>
      </c>
    </row>
    <row r="166" spans="2:93" outlineLevel="1" x14ac:dyDescent="0.25">
      <c r="B166" s="15"/>
      <c r="C166" s="53"/>
      <c r="D166" s="53"/>
      <c r="E166" s="198" t="s">
        <v>109</v>
      </c>
      <c r="F166" s="454">
        <v>1000</v>
      </c>
      <c r="G166" s="177">
        <v>1050</v>
      </c>
      <c r="H166" s="177">
        <v>1081.5</v>
      </c>
      <c r="I166" s="176"/>
      <c r="J166" s="182"/>
      <c r="K166" s="183">
        <v>0.05</v>
      </c>
      <c r="L166" s="184">
        <v>0.03</v>
      </c>
      <c r="M166" s="411">
        <v>6.7613252197430695E-3</v>
      </c>
      <c r="N166" s="411">
        <v>6.7840413503472783E-3</v>
      </c>
      <c r="O166" s="412">
        <v>6.7260265197617072E-3</v>
      </c>
      <c r="P166" s="29"/>
      <c r="Q166" s="461">
        <v>0.65</v>
      </c>
      <c r="R166" s="343">
        <v>0.68250000000000011</v>
      </c>
      <c r="S166" s="356">
        <v>0.68932500000000008</v>
      </c>
      <c r="T166" s="185">
        <v>0.05</v>
      </c>
      <c r="U166" s="186">
        <v>0.01</v>
      </c>
      <c r="W166" s="467">
        <v>0.05</v>
      </c>
      <c r="X166" s="486">
        <v>0.1</v>
      </c>
      <c r="Y166" s="389">
        <v>0.1</v>
      </c>
      <c r="AA166" s="410">
        <v>0.63157894736842102</v>
      </c>
      <c r="AB166" s="411">
        <v>0.64722222222222237</v>
      </c>
      <c r="AC166" s="412">
        <v>0.65480555555555564</v>
      </c>
      <c r="AE166" s="187">
        <v>21.05263157894737</v>
      </c>
      <c r="AF166" s="62">
        <v>21.684210526315791</v>
      </c>
      <c r="AG166" s="69">
        <v>22.768421052631581</v>
      </c>
      <c r="AH166" s="185">
        <v>0.03</v>
      </c>
      <c r="AI166" s="186">
        <v>0.05</v>
      </c>
      <c r="AK166" s="187">
        <v>25.263157894736842</v>
      </c>
      <c r="AL166" s="62">
        <v>26.02105263157895</v>
      </c>
      <c r="AM166" s="69">
        <v>27.322105263157898</v>
      </c>
      <c r="AN166" s="420">
        <v>0.03</v>
      </c>
      <c r="AO166" s="443">
        <v>0.05</v>
      </c>
      <c r="AQ166" s="187">
        <v>20</v>
      </c>
      <c r="AR166" s="64">
        <v>19.515789473684212</v>
      </c>
      <c r="AS166" s="65">
        <v>20.491578947368424</v>
      </c>
      <c r="AT166" s="178">
        <v>-2.421052631578946E-2</v>
      </c>
      <c r="AU166" s="179">
        <v>5.0000000000000044E-2</v>
      </c>
      <c r="AW166" s="188">
        <v>52.631578947368553</v>
      </c>
      <c r="AX166" s="177">
        <v>116.66666666666674</v>
      </c>
      <c r="AY166" s="177">
        <v>120.16666666666674</v>
      </c>
      <c r="BA166" s="188">
        <v>631.57894736842104</v>
      </c>
      <c r="BB166" s="177">
        <v>679.58333333333348</v>
      </c>
      <c r="BC166" s="177">
        <v>708.1722083333334</v>
      </c>
      <c r="BE166" s="223">
        <v>368.42105263157896</v>
      </c>
      <c r="BF166" s="177">
        <v>370.41666666666652</v>
      </c>
      <c r="BG166" s="177">
        <v>373.3277916666666</v>
      </c>
      <c r="BI166" s="188">
        <v>1052.6315789473686</v>
      </c>
      <c r="BJ166" s="177">
        <v>1166.6666666666667</v>
      </c>
      <c r="BK166" s="189">
        <v>1201.6666666666667</v>
      </c>
      <c r="BM166" s="454">
        <v>50</v>
      </c>
      <c r="BN166" s="177">
        <v>53.802588996763753</v>
      </c>
      <c r="BO166" s="177">
        <v>52.777777777777771</v>
      </c>
      <c r="BP166" s="178">
        <v>7.6051779935275121E-2</v>
      </c>
      <c r="BQ166" s="179">
        <v>-1.9047619047619091E-2</v>
      </c>
      <c r="BR166" s="411">
        <v>1.1025358324145534E-2</v>
      </c>
      <c r="BS166" s="411">
        <v>1.1161360906619672E-2</v>
      </c>
      <c r="BT166" s="412">
        <v>1.1085477346132314E-2</v>
      </c>
      <c r="BV166" s="454">
        <v>4</v>
      </c>
      <c r="BW166" s="473">
        <v>4</v>
      </c>
      <c r="BX166" s="180">
        <v>0</v>
      </c>
      <c r="BY166" s="454">
        <v>4</v>
      </c>
      <c r="BZ166" s="188">
        <v>1191.5423677106883</v>
      </c>
      <c r="CA166" s="180">
        <v>296.88559192767207</v>
      </c>
      <c r="CB166" s="190">
        <v>5</v>
      </c>
      <c r="CC166" s="246">
        <v>22.61904761904762</v>
      </c>
      <c r="CD166" s="430">
        <v>3.5238095238095237</v>
      </c>
      <c r="CF166" s="490">
        <v>1241.344956707452</v>
      </c>
      <c r="CG166" s="481">
        <v>45981.486104705182</v>
      </c>
      <c r="CH166" s="178">
        <v>4.3202960518675546E-2</v>
      </c>
      <c r="CI166" s="246">
        <v>70.396825396825392</v>
      </c>
      <c r="CJ166" s="189">
        <v>26281.091365740733</v>
      </c>
      <c r="CK166" s="281">
        <v>0.7</v>
      </c>
      <c r="CM166" s="240">
        <v>12.5</v>
      </c>
      <c r="CN166" s="241">
        <v>9.000532385947789E-2</v>
      </c>
      <c r="CO166" s="242">
        <v>3.8218390804597693</v>
      </c>
    </row>
    <row r="167" spans="2:93" outlineLevel="1" x14ac:dyDescent="0.25">
      <c r="B167" s="15"/>
      <c r="C167" s="53"/>
      <c r="D167" s="53"/>
      <c r="E167" s="198" t="s">
        <v>110</v>
      </c>
      <c r="F167" s="454">
        <v>1000</v>
      </c>
      <c r="G167" s="177">
        <v>1050</v>
      </c>
      <c r="H167" s="177">
        <v>1081.5</v>
      </c>
      <c r="I167" s="176"/>
      <c r="J167" s="182"/>
      <c r="K167" s="183">
        <v>0.05</v>
      </c>
      <c r="L167" s="184">
        <v>0.03</v>
      </c>
      <c r="M167" s="411">
        <v>6.7613252197430695E-3</v>
      </c>
      <c r="N167" s="411">
        <v>6.7840413503472783E-3</v>
      </c>
      <c r="O167" s="412">
        <v>6.7260265197617072E-3</v>
      </c>
      <c r="P167" s="29"/>
      <c r="Q167" s="461">
        <v>0.65</v>
      </c>
      <c r="R167" s="343">
        <v>0.68250000000000011</v>
      </c>
      <c r="S167" s="356">
        <v>0.68932500000000008</v>
      </c>
      <c r="T167" s="185">
        <v>0.05</v>
      </c>
      <c r="U167" s="186">
        <v>0.01</v>
      </c>
      <c r="W167" s="467">
        <v>0.05</v>
      </c>
      <c r="X167" s="486">
        <v>0.1</v>
      </c>
      <c r="Y167" s="389">
        <v>0.1</v>
      </c>
      <c r="AA167" s="410">
        <v>0.63157894736842102</v>
      </c>
      <c r="AB167" s="411">
        <v>0.64722222222222237</v>
      </c>
      <c r="AC167" s="412">
        <v>0.65480555555555564</v>
      </c>
      <c r="AE167" s="187">
        <v>21.05263157894737</v>
      </c>
      <c r="AF167" s="62">
        <v>21.684210526315791</v>
      </c>
      <c r="AG167" s="69">
        <v>22.768421052631581</v>
      </c>
      <c r="AH167" s="185">
        <v>0.03</v>
      </c>
      <c r="AI167" s="186">
        <v>0.05</v>
      </c>
      <c r="AK167" s="187">
        <v>25.263157894736842</v>
      </c>
      <c r="AL167" s="62">
        <v>26.02105263157895</v>
      </c>
      <c r="AM167" s="69">
        <v>27.322105263157898</v>
      </c>
      <c r="AN167" s="420">
        <v>0.03</v>
      </c>
      <c r="AO167" s="443">
        <v>0.05</v>
      </c>
      <c r="AQ167" s="187">
        <v>20</v>
      </c>
      <c r="AR167" s="64">
        <v>19.515789473684212</v>
      </c>
      <c r="AS167" s="65">
        <v>20.491578947368424</v>
      </c>
      <c r="AT167" s="178">
        <v>-2.421052631578946E-2</v>
      </c>
      <c r="AU167" s="179">
        <v>5.0000000000000044E-2</v>
      </c>
      <c r="AW167" s="188">
        <v>52.631578947368553</v>
      </c>
      <c r="AX167" s="177">
        <v>116.66666666666674</v>
      </c>
      <c r="AY167" s="177">
        <v>120.16666666666674</v>
      </c>
      <c r="BA167" s="188">
        <v>631.57894736842104</v>
      </c>
      <c r="BB167" s="177">
        <v>679.58333333333348</v>
      </c>
      <c r="BC167" s="177">
        <v>708.1722083333334</v>
      </c>
      <c r="BE167" s="223">
        <v>368.42105263157896</v>
      </c>
      <c r="BF167" s="177">
        <v>370.41666666666652</v>
      </c>
      <c r="BG167" s="177">
        <v>373.3277916666666</v>
      </c>
      <c r="BI167" s="188">
        <v>1052.6315789473686</v>
      </c>
      <c r="BJ167" s="177">
        <v>1166.6666666666667</v>
      </c>
      <c r="BK167" s="189">
        <v>1201.6666666666667</v>
      </c>
      <c r="BM167" s="454">
        <v>50</v>
      </c>
      <c r="BN167" s="177">
        <v>53.802588996763753</v>
      </c>
      <c r="BO167" s="177">
        <v>52.777777777777771</v>
      </c>
      <c r="BP167" s="178">
        <v>7.6051779935275121E-2</v>
      </c>
      <c r="BQ167" s="179">
        <v>-1.9047619047619091E-2</v>
      </c>
      <c r="BR167" s="411">
        <v>1.1025358324145534E-2</v>
      </c>
      <c r="BS167" s="411">
        <v>1.1161360906619672E-2</v>
      </c>
      <c r="BT167" s="412">
        <v>1.1085477346132314E-2</v>
      </c>
      <c r="BV167" s="454">
        <v>4</v>
      </c>
      <c r="BW167" s="473">
        <v>4</v>
      </c>
      <c r="BX167" s="180">
        <v>0</v>
      </c>
      <c r="BY167" s="454">
        <v>4</v>
      </c>
      <c r="BZ167" s="188">
        <v>1191.5423677106883</v>
      </c>
      <c r="CA167" s="180">
        <v>296.88559192767207</v>
      </c>
      <c r="CB167" s="190">
        <v>5</v>
      </c>
      <c r="CC167" s="246">
        <v>22.61904761904762</v>
      </c>
      <c r="CD167" s="430">
        <v>3.5238095238095237</v>
      </c>
      <c r="CF167" s="490">
        <v>1241.344956707452</v>
      </c>
      <c r="CG167" s="481">
        <v>45981.486104705182</v>
      </c>
      <c r="CH167" s="178">
        <v>4.3202960518675546E-2</v>
      </c>
      <c r="CI167" s="246">
        <v>70.396825396825392</v>
      </c>
      <c r="CJ167" s="189">
        <v>26281.091365740733</v>
      </c>
      <c r="CK167" s="281">
        <v>0.7</v>
      </c>
      <c r="CM167" s="240">
        <v>12.5</v>
      </c>
      <c r="CN167" s="241">
        <v>9.000532385947789E-2</v>
      </c>
      <c r="CO167" s="242">
        <v>3.8218390804597693</v>
      </c>
    </row>
    <row r="168" spans="2:93" outlineLevel="1" x14ac:dyDescent="0.25">
      <c r="B168" s="199"/>
      <c r="C168" s="73"/>
      <c r="D168" s="73"/>
      <c r="E168" s="198" t="s">
        <v>111</v>
      </c>
      <c r="F168" s="454">
        <v>1000</v>
      </c>
      <c r="G168" s="177">
        <v>1050</v>
      </c>
      <c r="H168" s="177">
        <v>1081.5</v>
      </c>
      <c r="I168" s="191"/>
      <c r="J168" s="182"/>
      <c r="K168" s="183">
        <v>0.05</v>
      </c>
      <c r="L168" s="184">
        <v>0.03</v>
      </c>
      <c r="M168" s="411">
        <v>6.7613252197430695E-3</v>
      </c>
      <c r="N168" s="411">
        <v>6.7840413503472783E-3</v>
      </c>
      <c r="O168" s="412">
        <v>6.7260265197617072E-3</v>
      </c>
      <c r="P168" s="29"/>
      <c r="Q168" s="461">
        <v>0.65</v>
      </c>
      <c r="R168" s="343">
        <v>0.68250000000000011</v>
      </c>
      <c r="S168" s="356">
        <v>0.68932500000000008</v>
      </c>
      <c r="T168" s="185">
        <v>0.05</v>
      </c>
      <c r="U168" s="186">
        <v>0.01</v>
      </c>
      <c r="W168" s="467">
        <v>0.05</v>
      </c>
      <c r="X168" s="486">
        <v>0.1</v>
      </c>
      <c r="Y168" s="389">
        <v>0.1</v>
      </c>
      <c r="AA168" s="410">
        <v>0.63157894736842102</v>
      </c>
      <c r="AB168" s="411">
        <v>0.64722222222222237</v>
      </c>
      <c r="AC168" s="412">
        <v>0.65480555555555564</v>
      </c>
      <c r="AE168" s="187">
        <v>21.05263157894737</v>
      </c>
      <c r="AF168" s="62">
        <v>21.684210526315791</v>
      </c>
      <c r="AG168" s="69">
        <v>22.768421052631581</v>
      </c>
      <c r="AH168" s="185">
        <v>0.03</v>
      </c>
      <c r="AI168" s="186">
        <v>0.05</v>
      </c>
      <c r="AK168" s="187">
        <v>25.263157894736842</v>
      </c>
      <c r="AL168" s="62">
        <v>26.02105263157895</v>
      </c>
      <c r="AM168" s="69">
        <v>27.322105263157898</v>
      </c>
      <c r="AN168" s="420">
        <v>0.03</v>
      </c>
      <c r="AO168" s="443">
        <v>0.05</v>
      </c>
      <c r="AQ168" s="187">
        <v>20</v>
      </c>
      <c r="AR168" s="64">
        <v>19.515789473684212</v>
      </c>
      <c r="AS168" s="65">
        <v>20.491578947368424</v>
      </c>
      <c r="AT168" s="178">
        <v>-2.421052631578946E-2</v>
      </c>
      <c r="AU168" s="179">
        <v>5.0000000000000044E-2</v>
      </c>
      <c r="AW168" s="188">
        <v>52.631578947368553</v>
      </c>
      <c r="AX168" s="177">
        <v>116.66666666666674</v>
      </c>
      <c r="AY168" s="177">
        <v>120.16666666666674</v>
      </c>
      <c r="BA168" s="188">
        <v>631.57894736842104</v>
      </c>
      <c r="BB168" s="177">
        <v>679.58333333333348</v>
      </c>
      <c r="BC168" s="177">
        <v>708.1722083333334</v>
      </c>
      <c r="BE168" s="223">
        <v>368.42105263157896</v>
      </c>
      <c r="BF168" s="177">
        <v>370.41666666666652</v>
      </c>
      <c r="BG168" s="177">
        <v>373.3277916666666</v>
      </c>
      <c r="BI168" s="188">
        <v>1052.6315789473686</v>
      </c>
      <c r="BJ168" s="177">
        <v>1166.6666666666667</v>
      </c>
      <c r="BK168" s="189">
        <v>1201.6666666666667</v>
      </c>
      <c r="BM168" s="454">
        <v>50</v>
      </c>
      <c r="BN168" s="177">
        <v>53.802588996763753</v>
      </c>
      <c r="BO168" s="177">
        <v>52.777777777777771</v>
      </c>
      <c r="BP168" s="178">
        <v>7.6051779935275121E-2</v>
      </c>
      <c r="BQ168" s="179">
        <v>-1.9047619047619091E-2</v>
      </c>
      <c r="BR168" s="411">
        <v>1.1025358324145534E-2</v>
      </c>
      <c r="BS168" s="411">
        <v>1.1161360906619672E-2</v>
      </c>
      <c r="BT168" s="412">
        <v>1.1085477346132314E-2</v>
      </c>
      <c r="BV168" s="454">
        <v>4</v>
      </c>
      <c r="BW168" s="473">
        <v>4</v>
      </c>
      <c r="BX168" s="180">
        <v>0</v>
      </c>
      <c r="BY168" s="454">
        <v>4</v>
      </c>
      <c r="BZ168" s="188">
        <v>1191.5423677106883</v>
      </c>
      <c r="CA168" s="180">
        <v>296.88559192767207</v>
      </c>
      <c r="CB168" s="190">
        <v>5</v>
      </c>
      <c r="CC168" s="246">
        <v>22.61904761904762</v>
      </c>
      <c r="CD168" s="430">
        <v>3.5238095238095237</v>
      </c>
      <c r="CF168" s="490">
        <v>1241.344956707452</v>
      </c>
      <c r="CG168" s="481">
        <v>45981.486104705182</v>
      </c>
      <c r="CH168" s="178">
        <v>4.3202960518675546E-2</v>
      </c>
      <c r="CI168" s="246">
        <v>70.396825396825392</v>
      </c>
      <c r="CJ168" s="189">
        <v>26281.091365740733</v>
      </c>
      <c r="CK168" s="281">
        <v>0.7</v>
      </c>
      <c r="CM168" s="240">
        <v>12.5</v>
      </c>
      <c r="CN168" s="241">
        <v>9.000532385947789E-2</v>
      </c>
      <c r="CO168" s="242">
        <v>3.8218390804597693</v>
      </c>
    </row>
    <row r="169" spans="2:93" ht="13.5" customHeight="1" x14ac:dyDescent="0.25">
      <c r="B169" s="540" t="s">
        <v>114</v>
      </c>
      <c r="C169" s="540"/>
      <c r="D169" s="540"/>
      <c r="E169" s="540"/>
      <c r="F169" s="88">
        <v>4000</v>
      </c>
      <c r="G169" s="89">
        <v>4200</v>
      </c>
      <c r="H169" s="89">
        <v>4326</v>
      </c>
      <c r="I169" s="89"/>
      <c r="J169" s="103"/>
      <c r="K169" s="91">
        <v>5.0000000000000044E-2</v>
      </c>
      <c r="L169" s="103">
        <v>3.0000000000000027E-2</v>
      </c>
      <c r="M169" s="367">
        <v>2.7045300878972278E-2</v>
      </c>
      <c r="N169" s="367">
        <v>2.7136165401389113E-2</v>
      </c>
      <c r="O169" s="94">
        <v>2.6904106079046829E-2</v>
      </c>
      <c r="P169" s="29"/>
      <c r="Q169" s="345">
        <v>0.68157894736842117</v>
      </c>
      <c r="R169" s="346">
        <v>0.74722222222222245</v>
      </c>
      <c r="S169" s="349">
        <v>0.75480555555555573</v>
      </c>
      <c r="T169" s="93">
        <v>9.6310596310596353E-2</v>
      </c>
      <c r="U169" s="92">
        <v>1.0148698884758334E-2</v>
      </c>
      <c r="V169" s="13"/>
      <c r="W169" s="375">
        <v>5.0000000000000121E-2</v>
      </c>
      <c r="X169" s="376">
        <v>0.10000000000000006</v>
      </c>
      <c r="Y169" s="377">
        <v>0.10000000000000006</v>
      </c>
      <c r="AA169" s="366">
        <v>0.63157894736842102</v>
      </c>
      <c r="AB169" s="367">
        <v>0.64722222222222237</v>
      </c>
      <c r="AC169" s="94">
        <v>0.65480555555555564</v>
      </c>
      <c r="AE169" s="95">
        <v>19.999999999999996</v>
      </c>
      <c r="AF169" s="96">
        <v>20.599999999999998</v>
      </c>
      <c r="AG169" s="99">
        <v>21.63</v>
      </c>
      <c r="AH169" s="93">
        <v>0.03</v>
      </c>
      <c r="AI169" s="92">
        <v>0.05</v>
      </c>
      <c r="AK169" s="95">
        <v>23.999999999999996</v>
      </c>
      <c r="AL169" s="96">
        <v>24.719999999999995</v>
      </c>
      <c r="AM169" s="99">
        <v>25.956</v>
      </c>
      <c r="AN169" s="93">
        <v>0.03</v>
      </c>
      <c r="AO169" s="92">
        <v>0.05</v>
      </c>
      <c r="AQ169" s="95">
        <v>20</v>
      </c>
      <c r="AR169" s="96">
        <v>19.515789473684212</v>
      </c>
      <c r="AS169" s="99">
        <v>20.491578947368424</v>
      </c>
      <c r="AT169" s="91">
        <v>-2.421052631578946E-2</v>
      </c>
      <c r="AU169" s="92">
        <v>5.0000000000000044E-2</v>
      </c>
      <c r="AW169" s="88">
        <v>210.52631578947421</v>
      </c>
      <c r="AX169" s="89">
        <v>466.66666666666697</v>
      </c>
      <c r="AY169" s="89">
        <v>480.66666666666697</v>
      </c>
      <c r="BA169" s="88">
        <v>2526.3157894736842</v>
      </c>
      <c r="BB169" s="89">
        <v>2718.3333333333339</v>
      </c>
      <c r="BC169" s="89">
        <v>2832.6888333333336</v>
      </c>
      <c r="BE169" s="88">
        <v>1473.6842105263158</v>
      </c>
      <c r="BF169" s="89">
        <v>1481.6666666666661</v>
      </c>
      <c r="BG169" s="89">
        <v>1493.3111666666664</v>
      </c>
      <c r="BI169" s="100">
        <v>4210.5263157894742</v>
      </c>
      <c r="BJ169" s="101">
        <v>4666.666666666667</v>
      </c>
      <c r="BK169" s="102">
        <v>4806.666666666667</v>
      </c>
      <c r="BM169" s="88">
        <v>200</v>
      </c>
      <c r="BN169" s="89">
        <v>215.21035598705501</v>
      </c>
      <c r="BO169" s="89">
        <v>211.11111111111109</v>
      </c>
      <c r="BP169" s="91">
        <v>7.6051779935275121E-2</v>
      </c>
      <c r="BQ169" s="92">
        <v>-1.9047619047619091E-2</v>
      </c>
      <c r="BR169" s="367">
        <v>4.4101433296582136E-2</v>
      </c>
      <c r="BS169" s="367">
        <v>4.4645443626478688E-2</v>
      </c>
      <c r="BT169" s="94">
        <v>4.4341909384529254E-2</v>
      </c>
      <c r="BV169" s="88">
        <v>16</v>
      </c>
      <c r="BW169" s="285">
        <v>16</v>
      </c>
      <c r="BX169" s="93">
        <v>0</v>
      </c>
      <c r="BY169" s="88">
        <v>16</v>
      </c>
      <c r="BZ169" s="285">
        <v>4766.1694708427531</v>
      </c>
      <c r="CA169" s="93">
        <v>296.88559192767207</v>
      </c>
      <c r="CB169" s="285">
        <v>20</v>
      </c>
      <c r="CC169" s="282">
        <v>90.476190476190482</v>
      </c>
      <c r="CD169" s="103">
        <v>3.5238095238095237</v>
      </c>
      <c r="CF169" s="115">
        <v>4965.3798268298078</v>
      </c>
      <c r="CG169" s="102">
        <v>183925.94441882073</v>
      </c>
      <c r="CH169" s="252">
        <v>4.3202960518675546E-2</v>
      </c>
      <c r="CI169" s="115">
        <v>281.58730158730157</v>
      </c>
      <c r="CJ169" s="102">
        <v>105124.36546296293</v>
      </c>
      <c r="CK169" s="308">
        <v>0.7</v>
      </c>
      <c r="CM169" s="290">
        <v>12.5</v>
      </c>
      <c r="CN169" s="291">
        <v>9.000532385947789E-2</v>
      </c>
      <c r="CO169" s="292">
        <v>3.8218390804597693</v>
      </c>
    </row>
    <row r="170" spans="2:93" outlineLevel="1" x14ac:dyDescent="0.25">
      <c r="B170" s="160" t="s">
        <v>107</v>
      </c>
      <c r="C170" s="23" t="s">
        <v>35</v>
      </c>
      <c r="D170" s="23" t="s">
        <v>31</v>
      </c>
      <c r="E170" s="198" t="s">
        <v>108</v>
      </c>
      <c r="F170" s="454">
        <v>1000</v>
      </c>
      <c r="G170" s="177">
        <v>1050</v>
      </c>
      <c r="H170" s="177">
        <v>1081.5</v>
      </c>
      <c r="I170" s="161"/>
      <c r="J170" s="182"/>
      <c r="K170" s="183">
        <v>0.05</v>
      </c>
      <c r="L170" s="184">
        <v>0.03</v>
      </c>
      <c r="M170" s="411">
        <v>6.7613252197430695E-3</v>
      </c>
      <c r="N170" s="411">
        <v>6.7840413503472783E-3</v>
      </c>
      <c r="O170" s="412">
        <v>6.7260265197617072E-3</v>
      </c>
      <c r="P170" s="29"/>
      <c r="Q170" s="461">
        <v>0.65</v>
      </c>
      <c r="R170" s="343">
        <v>0.68250000000000011</v>
      </c>
      <c r="S170" s="356">
        <v>0.68932500000000008</v>
      </c>
      <c r="T170" s="185">
        <v>0.05</v>
      </c>
      <c r="U170" s="186">
        <v>0.01</v>
      </c>
      <c r="V170" s="29"/>
      <c r="W170" s="467">
        <v>0.05</v>
      </c>
      <c r="X170" s="486">
        <v>0.1</v>
      </c>
      <c r="Y170" s="389">
        <v>0.1</v>
      </c>
      <c r="AA170" s="410">
        <v>0.63157894736842102</v>
      </c>
      <c r="AB170" s="411">
        <v>0.64722222222222237</v>
      </c>
      <c r="AC170" s="412">
        <v>0.65480555555555564</v>
      </c>
      <c r="AE170" s="187">
        <v>21.05263157894737</v>
      </c>
      <c r="AF170" s="62">
        <v>21.684210526315791</v>
      </c>
      <c r="AG170" s="69">
        <v>22.768421052631581</v>
      </c>
      <c r="AH170" s="185">
        <v>0.03</v>
      </c>
      <c r="AI170" s="186">
        <v>0.05</v>
      </c>
      <c r="AK170" s="187">
        <v>25.263157894736842</v>
      </c>
      <c r="AL170" s="62">
        <v>26.02105263157895</v>
      </c>
      <c r="AM170" s="69">
        <v>27.322105263157898</v>
      </c>
      <c r="AN170" s="420">
        <v>0.03</v>
      </c>
      <c r="AO170" s="443">
        <v>0.05</v>
      </c>
      <c r="AQ170" s="187">
        <v>20</v>
      </c>
      <c r="AR170" s="64">
        <v>19.515789473684212</v>
      </c>
      <c r="AS170" s="65">
        <v>20.491578947368424</v>
      </c>
      <c r="AT170" s="178">
        <v>-2.421052631578946E-2</v>
      </c>
      <c r="AU170" s="179">
        <v>5.0000000000000044E-2</v>
      </c>
      <c r="AW170" s="188">
        <v>52.631578947368553</v>
      </c>
      <c r="AX170" s="177">
        <v>116.66666666666674</v>
      </c>
      <c r="AY170" s="177">
        <v>120.16666666666674</v>
      </c>
      <c r="BA170" s="188">
        <v>631.57894736842104</v>
      </c>
      <c r="BB170" s="177">
        <v>679.58333333333348</v>
      </c>
      <c r="BC170" s="177">
        <v>708.1722083333334</v>
      </c>
      <c r="BE170" s="223">
        <v>368.42105263157896</v>
      </c>
      <c r="BF170" s="177">
        <v>370.41666666666652</v>
      </c>
      <c r="BG170" s="177">
        <v>373.3277916666666</v>
      </c>
      <c r="BI170" s="188">
        <v>1052.6315789473686</v>
      </c>
      <c r="BJ170" s="177">
        <v>1166.6666666666667</v>
      </c>
      <c r="BK170" s="189">
        <v>1201.6666666666667</v>
      </c>
      <c r="BM170" s="454">
        <v>50</v>
      </c>
      <c r="BN170" s="177">
        <v>53.802588996763753</v>
      </c>
      <c r="BO170" s="177">
        <v>52.777777777777771</v>
      </c>
      <c r="BP170" s="178">
        <v>7.6051779935275121E-2</v>
      </c>
      <c r="BQ170" s="179">
        <v>-1.9047619047619091E-2</v>
      </c>
      <c r="BR170" s="411">
        <v>1.1025358324145534E-2</v>
      </c>
      <c r="BS170" s="411">
        <v>1.1161360906619672E-2</v>
      </c>
      <c r="BT170" s="412">
        <v>1.1085477346132314E-2</v>
      </c>
      <c r="BV170" s="454">
        <v>4</v>
      </c>
      <c r="BW170" s="473">
        <v>4</v>
      </c>
      <c r="BX170" s="180">
        <v>0</v>
      </c>
      <c r="BY170" s="454">
        <v>4</v>
      </c>
      <c r="BZ170" s="188">
        <v>1191.5423677106883</v>
      </c>
      <c r="CA170" s="180">
        <v>296.88559192767207</v>
      </c>
      <c r="CB170" s="190">
        <v>5</v>
      </c>
      <c r="CC170" s="246">
        <v>22.61904761904762</v>
      </c>
      <c r="CD170" s="430">
        <v>3.5238095238095237</v>
      </c>
      <c r="CF170" s="490">
        <v>1241.344956707452</v>
      </c>
      <c r="CG170" s="481">
        <v>45981.486104705182</v>
      </c>
      <c r="CH170" s="178">
        <v>4.3202960518675546E-2</v>
      </c>
      <c r="CI170" s="246">
        <v>70.396825396825392</v>
      </c>
      <c r="CJ170" s="189">
        <v>26281.091365740733</v>
      </c>
      <c r="CK170" s="281">
        <v>0.7</v>
      </c>
      <c r="CM170" s="240">
        <v>12.5</v>
      </c>
      <c r="CN170" s="241">
        <v>9.000532385947789E-2</v>
      </c>
      <c r="CO170" s="242">
        <v>3.8218390804597693</v>
      </c>
    </row>
    <row r="171" spans="2:93" outlineLevel="1" x14ac:dyDescent="0.25">
      <c r="B171" s="15"/>
      <c r="C171" s="53"/>
      <c r="D171" s="53"/>
      <c r="E171" s="198" t="s">
        <v>109</v>
      </c>
      <c r="F171" s="454">
        <v>1000</v>
      </c>
      <c r="G171" s="177">
        <v>1050</v>
      </c>
      <c r="H171" s="177">
        <v>1081.5</v>
      </c>
      <c r="I171" s="176"/>
      <c r="J171" s="182"/>
      <c r="K171" s="183">
        <v>0.05</v>
      </c>
      <c r="L171" s="184">
        <v>0.03</v>
      </c>
      <c r="M171" s="411">
        <v>6.7613252197430695E-3</v>
      </c>
      <c r="N171" s="411">
        <v>6.7840413503472783E-3</v>
      </c>
      <c r="O171" s="412">
        <v>6.7260265197617072E-3</v>
      </c>
      <c r="P171" s="29"/>
      <c r="Q171" s="461">
        <v>0.65</v>
      </c>
      <c r="R171" s="343">
        <v>0.68250000000000011</v>
      </c>
      <c r="S171" s="356">
        <v>0.68932500000000008</v>
      </c>
      <c r="T171" s="185">
        <v>0.05</v>
      </c>
      <c r="U171" s="186">
        <v>0.01</v>
      </c>
      <c r="W171" s="467">
        <v>0.05</v>
      </c>
      <c r="X171" s="486">
        <v>0.1</v>
      </c>
      <c r="Y171" s="389">
        <v>0.1</v>
      </c>
      <c r="AA171" s="410">
        <v>0.63157894736842102</v>
      </c>
      <c r="AB171" s="411">
        <v>0.64722222222222237</v>
      </c>
      <c r="AC171" s="412">
        <v>0.65480555555555564</v>
      </c>
      <c r="AE171" s="187">
        <v>21.05263157894737</v>
      </c>
      <c r="AF171" s="62">
        <v>21.684210526315791</v>
      </c>
      <c r="AG171" s="69">
        <v>22.768421052631581</v>
      </c>
      <c r="AH171" s="185">
        <v>0.03</v>
      </c>
      <c r="AI171" s="186">
        <v>0.05</v>
      </c>
      <c r="AK171" s="187">
        <v>25.263157894736842</v>
      </c>
      <c r="AL171" s="62">
        <v>26.02105263157895</v>
      </c>
      <c r="AM171" s="69">
        <v>27.322105263157898</v>
      </c>
      <c r="AN171" s="420">
        <v>0.03</v>
      </c>
      <c r="AO171" s="443">
        <v>0.05</v>
      </c>
      <c r="AQ171" s="187">
        <v>20</v>
      </c>
      <c r="AR171" s="64">
        <v>19.515789473684212</v>
      </c>
      <c r="AS171" s="65">
        <v>20.491578947368424</v>
      </c>
      <c r="AT171" s="178">
        <v>-2.421052631578946E-2</v>
      </c>
      <c r="AU171" s="179">
        <v>5.0000000000000044E-2</v>
      </c>
      <c r="AW171" s="188">
        <v>52.631578947368553</v>
      </c>
      <c r="AX171" s="177">
        <v>116.66666666666674</v>
      </c>
      <c r="AY171" s="177">
        <v>120.16666666666674</v>
      </c>
      <c r="BA171" s="188">
        <v>631.57894736842104</v>
      </c>
      <c r="BB171" s="177">
        <v>679.58333333333348</v>
      </c>
      <c r="BC171" s="177">
        <v>708.1722083333334</v>
      </c>
      <c r="BE171" s="223">
        <v>368.42105263157896</v>
      </c>
      <c r="BF171" s="177">
        <v>370.41666666666652</v>
      </c>
      <c r="BG171" s="177">
        <v>373.3277916666666</v>
      </c>
      <c r="BI171" s="188">
        <v>1052.6315789473686</v>
      </c>
      <c r="BJ171" s="177">
        <v>1166.6666666666667</v>
      </c>
      <c r="BK171" s="189">
        <v>1201.6666666666667</v>
      </c>
      <c r="BM171" s="454">
        <v>50</v>
      </c>
      <c r="BN171" s="177">
        <v>53.802588996763753</v>
      </c>
      <c r="BO171" s="177">
        <v>52.777777777777771</v>
      </c>
      <c r="BP171" s="178">
        <v>7.6051779935275121E-2</v>
      </c>
      <c r="BQ171" s="179">
        <v>-1.9047619047619091E-2</v>
      </c>
      <c r="BR171" s="411">
        <v>1.1025358324145534E-2</v>
      </c>
      <c r="BS171" s="411">
        <v>1.1161360906619672E-2</v>
      </c>
      <c r="BT171" s="412">
        <v>1.1085477346132314E-2</v>
      </c>
      <c r="BV171" s="454">
        <v>4</v>
      </c>
      <c r="BW171" s="473">
        <v>4</v>
      </c>
      <c r="BX171" s="180">
        <v>0</v>
      </c>
      <c r="BY171" s="454">
        <v>4</v>
      </c>
      <c r="BZ171" s="188">
        <v>1191.5423677106883</v>
      </c>
      <c r="CA171" s="180">
        <v>296.88559192767207</v>
      </c>
      <c r="CB171" s="190">
        <v>5</v>
      </c>
      <c r="CC171" s="246">
        <v>22.61904761904762</v>
      </c>
      <c r="CD171" s="430">
        <v>3.5238095238095237</v>
      </c>
      <c r="CF171" s="490">
        <v>1241.344956707452</v>
      </c>
      <c r="CG171" s="481">
        <v>45981.486104705182</v>
      </c>
      <c r="CH171" s="178">
        <v>4.3202960518675546E-2</v>
      </c>
      <c r="CI171" s="246">
        <v>70.396825396825392</v>
      </c>
      <c r="CJ171" s="189">
        <v>26281.091365740733</v>
      </c>
      <c r="CK171" s="281">
        <v>0.7</v>
      </c>
      <c r="CM171" s="240">
        <v>12.5</v>
      </c>
      <c r="CN171" s="241">
        <v>9.000532385947789E-2</v>
      </c>
      <c r="CO171" s="242">
        <v>3.8218390804597693</v>
      </c>
    </row>
    <row r="172" spans="2:93" outlineLevel="1" x14ac:dyDescent="0.25">
      <c r="B172" s="15"/>
      <c r="C172" s="53"/>
      <c r="D172" s="53"/>
      <c r="E172" s="198" t="s">
        <v>110</v>
      </c>
      <c r="F172" s="454">
        <v>1000</v>
      </c>
      <c r="G172" s="177">
        <v>1050</v>
      </c>
      <c r="H172" s="177">
        <v>1081.5</v>
      </c>
      <c r="I172" s="176"/>
      <c r="J172" s="182"/>
      <c r="K172" s="183">
        <v>0.05</v>
      </c>
      <c r="L172" s="184">
        <v>0.03</v>
      </c>
      <c r="M172" s="411">
        <v>6.7613252197430695E-3</v>
      </c>
      <c r="N172" s="411">
        <v>6.7840413503472783E-3</v>
      </c>
      <c r="O172" s="412">
        <v>6.7260265197617072E-3</v>
      </c>
      <c r="P172" s="29"/>
      <c r="Q172" s="461">
        <v>0.65</v>
      </c>
      <c r="R172" s="343">
        <v>0.68250000000000011</v>
      </c>
      <c r="S172" s="356">
        <v>0.68932500000000008</v>
      </c>
      <c r="T172" s="185">
        <v>0.05</v>
      </c>
      <c r="U172" s="186">
        <v>0.01</v>
      </c>
      <c r="W172" s="467">
        <v>0.05</v>
      </c>
      <c r="X172" s="486">
        <v>0.1</v>
      </c>
      <c r="Y172" s="389">
        <v>0.1</v>
      </c>
      <c r="AA172" s="410">
        <v>0.63157894736842102</v>
      </c>
      <c r="AB172" s="411">
        <v>0.64722222222222237</v>
      </c>
      <c r="AC172" s="412">
        <v>0.65480555555555564</v>
      </c>
      <c r="AE172" s="187">
        <v>21.05263157894737</v>
      </c>
      <c r="AF172" s="62">
        <v>21.684210526315791</v>
      </c>
      <c r="AG172" s="69">
        <v>22.768421052631581</v>
      </c>
      <c r="AH172" s="185">
        <v>0.03</v>
      </c>
      <c r="AI172" s="186">
        <v>0.05</v>
      </c>
      <c r="AK172" s="187">
        <v>25.263157894736842</v>
      </c>
      <c r="AL172" s="62">
        <v>26.02105263157895</v>
      </c>
      <c r="AM172" s="69">
        <v>27.322105263157898</v>
      </c>
      <c r="AN172" s="420">
        <v>0.03</v>
      </c>
      <c r="AO172" s="443">
        <v>0.05</v>
      </c>
      <c r="AQ172" s="187">
        <v>20</v>
      </c>
      <c r="AR172" s="64">
        <v>19.515789473684212</v>
      </c>
      <c r="AS172" s="65">
        <v>20.491578947368424</v>
      </c>
      <c r="AT172" s="178">
        <v>-2.421052631578946E-2</v>
      </c>
      <c r="AU172" s="179">
        <v>5.0000000000000044E-2</v>
      </c>
      <c r="AW172" s="188">
        <v>52.631578947368553</v>
      </c>
      <c r="AX172" s="177">
        <v>116.66666666666674</v>
      </c>
      <c r="AY172" s="177">
        <v>120.16666666666674</v>
      </c>
      <c r="BA172" s="188">
        <v>631.57894736842104</v>
      </c>
      <c r="BB172" s="177">
        <v>679.58333333333348</v>
      </c>
      <c r="BC172" s="177">
        <v>708.1722083333334</v>
      </c>
      <c r="BE172" s="223">
        <v>368.42105263157896</v>
      </c>
      <c r="BF172" s="177">
        <v>370.41666666666652</v>
      </c>
      <c r="BG172" s="177">
        <v>373.3277916666666</v>
      </c>
      <c r="BI172" s="188">
        <v>1052.6315789473686</v>
      </c>
      <c r="BJ172" s="177">
        <v>1166.6666666666667</v>
      </c>
      <c r="BK172" s="189">
        <v>1201.6666666666667</v>
      </c>
      <c r="BM172" s="454">
        <v>50</v>
      </c>
      <c r="BN172" s="177">
        <v>53.802588996763753</v>
      </c>
      <c r="BO172" s="177">
        <v>52.777777777777771</v>
      </c>
      <c r="BP172" s="178">
        <v>7.6051779935275121E-2</v>
      </c>
      <c r="BQ172" s="179">
        <v>-1.9047619047619091E-2</v>
      </c>
      <c r="BR172" s="411">
        <v>1.1025358324145534E-2</v>
      </c>
      <c r="BS172" s="411">
        <v>1.1161360906619672E-2</v>
      </c>
      <c r="BT172" s="412">
        <v>1.1085477346132314E-2</v>
      </c>
      <c r="BV172" s="454">
        <v>4</v>
      </c>
      <c r="BW172" s="473">
        <v>4</v>
      </c>
      <c r="BX172" s="180">
        <v>0</v>
      </c>
      <c r="BY172" s="454">
        <v>4</v>
      </c>
      <c r="BZ172" s="188">
        <v>1191.5423677106883</v>
      </c>
      <c r="CA172" s="180">
        <v>296.88559192767207</v>
      </c>
      <c r="CB172" s="190">
        <v>5</v>
      </c>
      <c r="CC172" s="246">
        <v>22.61904761904762</v>
      </c>
      <c r="CD172" s="430">
        <v>3.5238095238095237</v>
      </c>
      <c r="CF172" s="490">
        <v>1241.344956707452</v>
      </c>
      <c r="CG172" s="481">
        <v>45981.486104705182</v>
      </c>
      <c r="CH172" s="178">
        <v>4.3202960518675546E-2</v>
      </c>
      <c r="CI172" s="246">
        <v>70.396825396825392</v>
      </c>
      <c r="CJ172" s="189">
        <v>26281.091365740733</v>
      </c>
      <c r="CK172" s="281">
        <v>0.7</v>
      </c>
      <c r="CM172" s="240">
        <v>12.5</v>
      </c>
      <c r="CN172" s="241">
        <v>9.000532385947789E-2</v>
      </c>
      <c r="CO172" s="242">
        <v>3.8218390804597693</v>
      </c>
    </row>
    <row r="173" spans="2:93" outlineLevel="1" x14ac:dyDescent="0.25">
      <c r="B173" s="199"/>
      <c r="C173" s="73"/>
      <c r="D173" s="73"/>
      <c r="E173" s="198" t="s">
        <v>111</v>
      </c>
      <c r="F173" s="454">
        <v>1000</v>
      </c>
      <c r="G173" s="177">
        <v>1050</v>
      </c>
      <c r="H173" s="177">
        <v>1081.5</v>
      </c>
      <c r="I173" s="191"/>
      <c r="J173" s="182"/>
      <c r="K173" s="183">
        <v>0.05</v>
      </c>
      <c r="L173" s="184">
        <v>0.03</v>
      </c>
      <c r="M173" s="411">
        <v>6.7613252197430695E-3</v>
      </c>
      <c r="N173" s="411">
        <v>6.7840413503472783E-3</v>
      </c>
      <c r="O173" s="412">
        <v>6.7260265197617072E-3</v>
      </c>
      <c r="P173" s="29"/>
      <c r="Q173" s="461">
        <v>0.65</v>
      </c>
      <c r="R173" s="343">
        <v>0.68250000000000011</v>
      </c>
      <c r="S173" s="356">
        <v>0.68932500000000008</v>
      </c>
      <c r="T173" s="185">
        <v>0.05</v>
      </c>
      <c r="U173" s="186">
        <v>0.01</v>
      </c>
      <c r="W173" s="467">
        <v>0.05</v>
      </c>
      <c r="X173" s="486">
        <v>0.1</v>
      </c>
      <c r="Y173" s="389">
        <v>0.1</v>
      </c>
      <c r="AA173" s="410">
        <v>0.63157894736842102</v>
      </c>
      <c r="AB173" s="411">
        <v>0.64722222222222237</v>
      </c>
      <c r="AC173" s="412">
        <v>0.65480555555555564</v>
      </c>
      <c r="AE173" s="187">
        <v>21.05263157894737</v>
      </c>
      <c r="AF173" s="62">
        <v>21.684210526315791</v>
      </c>
      <c r="AG173" s="69">
        <v>22.768421052631581</v>
      </c>
      <c r="AH173" s="185">
        <v>0.03</v>
      </c>
      <c r="AI173" s="186">
        <v>0.05</v>
      </c>
      <c r="AK173" s="187">
        <v>25.263157894736842</v>
      </c>
      <c r="AL173" s="62">
        <v>26.02105263157895</v>
      </c>
      <c r="AM173" s="69">
        <v>27.322105263157898</v>
      </c>
      <c r="AN173" s="420">
        <v>0.03</v>
      </c>
      <c r="AO173" s="443">
        <v>0.05</v>
      </c>
      <c r="AQ173" s="187">
        <v>20</v>
      </c>
      <c r="AR173" s="64">
        <v>19.515789473684212</v>
      </c>
      <c r="AS173" s="65">
        <v>20.491578947368424</v>
      </c>
      <c r="AT173" s="178">
        <v>-2.421052631578946E-2</v>
      </c>
      <c r="AU173" s="179">
        <v>5.0000000000000044E-2</v>
      </c>
      <c r="AW173" s="188">
        <v>52.631578947368553</v>
      </c>
      <c r="AX173" s="177">
        <v>116.66666666666674</v>
      </c>
      <c r="AY173" s="177">
        <v>120.16666666666674</v>
      </c>
      <c r="BA173" s="188">
        <v>631.57894736842104</v>
      </c>
      <c r="BB173" s="177">
        <v>679.58333333333348</v>
      </c>
      <c r="BC173" s="177">
        <v>708.1722083333334</v>
      </c>
      <c r="BE173" s="223">
        <v>368.42105263157896</v>
      </c>
      <c r="BF173" s="177">
        <v>370.41666666666652</v>
      </c>
      <c r="BG173" s="177">
        <v>373.3277916666666</v>
      </c>
      <c r="BI173" s="188">
        <v>1052.6315789473686</v>
      </c>
      <c r="BJ173" s="177">
        <v>1166.6666666666667</v>
      </c>
      <c r="BK173" s="189">
        <v>1201.6666666666667</v>
      </c>
      <c r="BM173" s="454">
        <v>50</v>
      </c>
      <c r="BN173" s="177">
        <v>53.802588996763753</v>
      </c>
      <c r="BO173" s="177">
        <v>52.777777777777771</v>
      </c>
      <c r="BP173" s="178">
        <v>7.6051779935275121E-2</v>
      </c>
      <c r="BQ173" s="179">
        <v>-1.9047619047619091E-2</v>
      </c>
      <c r="BR173" s="411">
        <v>1.1025358324145534E-2</v>
      </c>
      <c r="BS173" s="411">
        <v>1.1161360906619672E-2</v>
      </c>
      <c r="BT173" s="412">
        <v>1.1085477346132314E-2</v>
      </c>
      <c r="BV173" s="454">
        <v>4</v>
      </c>
      <c r="BW173" s="473">
        <v>4</v>
      </c>
      <c r="BX173" s="180">
        <v>0</v>
      </c>
      <c r="BY173" s="454">
        <v>4</v>
      </c>
      <c r="BZ173" s="188">
        <v>1191.5423677106883</v>
      </c>
      <c r="CA173" s="180">
        <v>296.88559192767207</v>
      </c>
      <c r="CB173" s="190">
        <v>5</v>
      </c>
      <c r="CC173" s="246">
        <v>22.61904761904762</v>
      </c>
      <c r="CD173" s="430">
        <v>3.5238095238095237</v>
      </c>
      <c r="CF173" s="490">
        <v>1241.344956707452</v>
      </c>
      <c r="CG173" s="481">
        <v>45981.486104705182</v>
      </c>
      <c r="CH173" s="178">
        <v>4.3202960518675546E-2</v>
      </c>
      <c r="CI173" s="246">
        <v>70.396825396825392</v>
      </c>
      <c r="CJ173" s="189">
        <v>26281.091365740733</v>
      </c>
      <c r="CK173" s="281">
        <v>0.7</v>
      </c>
      <c r="CM173" s="240">
        <v>12.5</v>
      </c>
      <c r="CN173" s="241">
        <v>9.000532385947789E-2</v>
      </c>
      <c r="CO173" s="242">
        <v>3.8218390804597693</v>
      </c>
    </row>
    <row r="174" spans="2:93" ht="13.5" customHeight="1" x14ac:dyDescent="0.25">
      <c r="B174" s="540" t="s">
        <v>115</v>
      </c>
      <c r="C174" s="540"/>
      <c r="D174" s="540"/>
      <c r="E174" s="540"/>
      <c r="F174" s="88">
        <v>4000</v>
      </c>
      <c r="G174" s="89">
        <v>4200</v>
      </c>
      <c r="H174" s="89">
        <v>4326</v>
      </c>
      <c r="I174" s="89"/>
      <c r="J174" s="103"/>
      <c r="K174" s="91">
        <v>5.0000000000000044E-2</v>
      </c>
      <c r="L174" s="103">
        <v>3.0000000000000027E-2</v>
      </c>
      <c r="M174" s="367">
        <v>2.7045300878972278E-2</v>
      </c>
      <c r="N174" s="367">
        <v>2.7136165401389113E-2</v>
      </c>
      <c r="O174" s="94">
        <v>2.6904106079046829E-2</v>
      </c>
      <c r="P174" s="29"/>
      <c r="Q174" s="345">
        <v>0.68157894736842117</v>
      </c>
      <c r="R174" s="346">
        <v>0.74722222222222245</v>
      </c>
      <c r="S174" s="349">
        <v>0.75480555555555573</v>
      </c>
      <c r="T174" s="93">
        <v>9.6310596310596353E-2</v>
      </c>
      <c r="U174" s="92">
        <v>1.0148698884758334E-2</v>
      </c>
      <c r="V174" s="13"/>
      <c r="W174" s="375">
        <v>5.0000000000000121E-2</v>
      </c>
      <c r="X174" s="376">
        <v>0.10000000000000006</v>
      </c>
      <c r="Y174" s="377">
        <v>0.10000000000000006</v>
      </c>
      <c r="AA174" s="366">
        <v>0.63157894736842102</v>
      </c>
      <c r="AB174" s="367">
        <v>0.64722222222222237</v>
      </c>
      <c r="AC174" s="94">
        <v>0.65480555555555564</v>
      </c>
      <c r="AE174" s="95">
        <v>19.999999999999996</v>
      </c>
      <c r="AF174" s="96">
        <v>20.599999999999998</v>
      </c>
      <c r="AG174" s="99">
        <v>21.63</v>
      </c>
      <c r="AH174" s="93">
        <v>0.03</v>
      </c>
      <c r="AI174" s="92">
        <v>0.05</v>
      </c>
      <c r="AK174" s="95">
        <v>23.999999999999996</v>
      </c>
      <c r="AL174" s="96">
        <v>24.719999999999995</v>
      </c>
      <c r="AM174" s="99">
        <v>25.956</v>
      </c>
      <c r="AN174" s="93">
        <v>0.03</v>
      </c>
      <c r="AO174" s="92">
        <v>0.05</v>
      </c>
      <c r="AQ174" s="95">
        <v>20</v>
      </c>
      <c r="AR174" s="96">
        <v>19.515789473684212</v>
      </c>
      <c r="AS174" s="99">
        <v>20.491578947368424</v>
      </c>
      <c r="AT174" s="91">
        <v>-2.421052631578946E-2</v>
      </c>
      <c r="AU174" s="92">
        <v>5.0000000000000044E-2</v>
      </c>
      <c r="AW174" s="88">
        <v>210.52631578947421</v>
      </c>
      <c r="AX174" s="89">
        <v>466.66666666666697</v>
      </c>
      <c r="AY174" s="89">
        <v>480.66666666666697</v>
      </c>
      <c r="BA174" s="88">
        <v>2526.3157894736842</v>
      </c>
      <c r="BB174" s="89">
        <v>2718.3333333333339</v>
      </c>
      <c r="BC174" s="89">
        <v>2832.6888333333336</v>
      </c>
      <c r="BE174" s="88">
        <v>1473.6842105263158</v>
      </c>
      <c r="BF174" s="89">
        <v>1481.6666666666661</v>
      </c>
      <c r="BG174" s="89">
        <v>1493.3111666666664</v>
      </c>
      <c r="BI174" s="100">
        <v>4210.5263157894742</v>
      </c>
      <c r="BJ174" s="101">
        <v>4666.666666666667</v>
      </c>
      <c r="BK174" s="102">
        <v>4806.666666666667</v>
      </c>
      <c r="BM174" s="88">
        <v>200</v>
      </c>
      <c r="BN174" s="89">
        <v>215.21035598705501</v>
      </c>
      <c r="BO174" s="89">
        <v>211.11111111111109</v>
      </c>
      <c r="BP174" s="91">
        <v>7.6051779935275121E-2</v>
      </c>
      <c r="BQ174" s="92">
        <v>-1.9047619047619091E-2</v>
      </c>
      <c r="BR174" s="367">
        <v>4.4101433296582136E-2</v>
      </c>
      <c r="BS174" s="367">
        <v>4.4645443626478688E-2</v>
      </c>
      <c r="BT174" s="94">
        <v>4.4341909384529254E-2</v>
      </c>
      <c r="BV174" s="88">
        <v>16</v>
      </c>
      <c r="BW174" s="285">
        <v>16</v>
      </c>
      <c r="BX174" s="93">
        <v>0</v>
      </c>
      <c r="BY174" s="88">
        <v>16</v>
      </c>
      <c r="BZ174" s="285">
        <v>4766.1694708427531</v>
      </c>
      <c r="CA174" s="93">
        <v>296.88559192767207</v>
      </c>
      <c r="CB174" s="285">
        <v>20</v>
      </c>
      <c r="CC174" s="282">
        <v>90.476190476190482</v>
      </c>
      <c r="CD174" s="103">
        <v>3.5238095238095237</v>
      </c>
      <c r="CF174" s="115">
        <v>4965.3798268298078</v>
      </c>
      <c r="CG174" s="102">
        <v>183925.94441882073</v>
      </c>
      <c r="CH174" s="252">
        <v>4.3202960518675546E-2</v>
      </c>
      <c r="CI174" s="115">
        <v>281.58730158730157</v>
      </c>
      <c r="CJ174" s="102">
        <v>105124.36546296293</v>
      </c>
      <c r="CK174" s="308">
        <v>0.7</v>
      </c>
      <c r="CM174" s="290">
        <v>12.5</v>
      </c>
      <c r="CN174" s="291">
        <v>9.000532385947789E-2</v>
      </c>
      <c r="CO174" s="292">
        <v>3.8218390804597693</v>
      </c>
    </row>
    <row r="175" spans="2:93" outlineLevel="1" x14ac:dyDescent="0.25">
      <c r="B175" s="160" t="s">
        <v>107</v>
      </c>
      <c r="C175" s="23" t="s">
        <v>35</v>
      </c>
      <c r="D175" s="23" t="s">
        <v>113</v>
      </c>
      <c r="E175" s="198" t="s">
        <v>108</v>
      </c>
      <c r="F175" s="454">
        <v>1000</v>
      </c>
      <c r="G175" s="177">
        <v>1050</v>
      </c>
      <c r="H175" s="177">
        <v>1081.5</v>
      </c>
      <c r="I175" s="161"/>
      <c r="J175" s="182"/>
      <c r="K175" s="183">
        <v>0.05</v>
      </c>
      <c r="L175" s="184">
        <v>0.03</v>
      </c>
      <c r="M175" s="411">
        <v>6.7613252197430695E-3</v>
      </c>
      <c r="N175" s="411">
        <v>6.7840413503472783E-3</v>
      </c>
      <c r="O175" s="412">
        <v>6.7260265197617072E-3</v>
      </c>
      <c r="P175" s="29"/>
      <c r="Q175" s="461">
        <v>0.65</v>
      </c>
      <c r="R175" s="343">
        <v>0.68250000000000011</v>
      </c>
      <c r="S175" s="356">
        <v>0.68932500000000008</v>
      </c>
      <c r="T175" s="185">
        <v>0.05</v>
      </c>
      <c r="U175" s="186">
        <v>0.01</v>
      </c>
      <c r="V175" s="29"/>
      <c r="W175" s="467">
        <v>0.05</v>
      </c>
      <c r="X175" s="486">
        <v>0.1</v>
      </c>
      <c r="Y175" s="389">
        <v>0.1</v>
      </c>
      <c r="AA175" s="410">
        <v>0.63157894736842102</v>
      </c>
      <c r="AB175" s="411">
        <v>0.64722222222222237</v>
      </c>
      <c r="AC175" s="412">
        <v>0.65480555555555564</v>
      </c>
      <c r="AE175" s="187">
        <v>21.05263157894737</v>
      </c>
      <c r="AF175" s="62">
        <v>21.684210526315791</v>
      </c>
      <c r="AG175" s="69">
        <v>22.768421052631581</v>
      </c>
      <c r="AH175" s="185">
        <v>0.03</v>
      </c>
      <c r="AI175" s="186">
        <v>0.05</v>
      </c>
      <c r="AK175" s="187">
        <v>25.263157894736842</v>
      </c>
      <c r="AL175" s="62">
        <v>26.02105263157895</v>
      </c>
      <c r="AM175" s="69">
        <v>27.322105263157898</v>
      </c>
      <c r="AN175" s="420">
        <v>0.03</v>
      </c>
      <c r="AO175" s="443">
        <v>0.05</v>
      </c>
      <c r="AQ175" s="187">
        <v>20</v>
      </c>
      <c r="AR175" s="64">
        <v>19.515789473684212</v>
      </c>
      <c r="AS175" s="65">
        <v>20.491578947368424</v>
      </c>
      <c r="AT175" s="178">
        <v>-2.421052631578946E-2</v>
      </c>
      <c r="AU175" s="179">
        <v>5.0000000000000044E-2</v>
      </c>
      <c r="AW175" s="188">
        <v>52.631578947368553</v>
      </c>
      <c r="AX175" s="177">
        <v>116.66666666666674</v>
      </c>
      <c r="AY175" s="177">
        <v>120.16666666666674</v>
      </c>
      <c r="BA175" s="188">
        <v>631.57894736842104</v>
      </c>
      <c r="BB175" s="177">
        <v>679.58333333333348</v>
      </c>
      <c r="BC175" s="177">
        <v>708.1722083333334</v>
      </c>
      <c r="BE175" s="223">
        <v>368.42105263157896</v>
      </c>
      <c r="BF175" s="177">
        <v>370.41666666666652</v>
      </c>
      <c r="BG175" s="177">
        <v>373.3277916666666</v>
      </c>
      <c r="BI175" s="188">
        <v>1052.6315789473686</v>
      </c>
      <c r="BJ175" s="177">
        <v>1166.6666666666667</v>
      </c>
      <c r="BK175" s="189">
        <v>1201.6666666666667</v>
      </c>
      <c r="BM175" s="454">
        <v>50</v>
      </c>
      <c r="BN175" s="177">
        <v>53.802588996763753</v>
      </c>
      <c r="BO175" s="177">
        <v>52.777777777777771</v>
      </c>
      <c r="BP175" s="178">
        <v>7.6051779935275121E-2</v>
      </c>
      <c r="BQ175" s="179">
        <v>-1.9047619047619091E-2</v>
      </c>
      <c r="BR175" s="411">
        <v>1.1025358324145534E-2</v>
      </c>
      <c r="BS175" s="411">
        <v>1.1161360906619672E-2</v>
      </c>
      <c r="BT175" s="412">
        <v>1.1085477346132314E-2</v>
      </c>
      <c r="BV175" s="454">
        <v>4</v>
      </c>
      <c r="BW175" s="473">
        <v>4</v>
      </c>
      <c r="BX175" s="180">
        <v>0</v>
      </c>
      <c r="BY175" s="454">
        <v>4</v>
      </c>
      <c r="BZ175" s="188">
        <v>1191.5423677106883</v>
      </c>
      <c r="CA175" s="180">
        <v>296.88559192767207</v>
      </c>
      <c r="CB175" s="190">
        <v>5</v>
      </c>
      <c r="CC175" s="246">
        <v>22.61904761904762</v>
      </c>
      <c r="CD175" s="430">
        <v>3.5238095238095237</v>
      </c>
      <c r="CF175" s="490">
        <v>1241.344956707452</v>
      </c>
      <c r="CG175" s="481">
        <v>45981.486104705182</v>
      </c>
      <c r="CH175" s="178">
        <v>4.3202960518675546E-2</v>
      </c>
      <c r="CI175" s="246">
        <v>70.396825396825392</v>
      </c>
      <c r="CJ175" s="189">
        <v>26281.091365740733</v>
      </c>
      <c r="CK175" s="281">
        <v>0.7</v>
      </c>
      <c r="CM175" s="240">
        <v>12.5</v>
      </c>
      <c r="CN175" s="241">
        <v>9.000532385947789E-2</v>
      </c>
      <c r="CO175" s="242">
        <v>3.8218390804597693</v>
      </c>
    </row>
    <row r="176" spans="2:93" outlineLevel="1" x14ac:dyDescent="0.25">
      <c r="B176" s="15"/>
      <c r="C176" s="53"/>
      <c r="D176" s="53"/>
      <c r="E176" s="198" t="s">
        <v>109</v>
      </c>
      <c r="F176" s="454">
        <v>1000</v>
      </c>
      <c r="G176" s="177">
        <v>1050</v>
      </c>
      <c r="H176" s="177">
        <v>1081.5</v>
      </c>
      <c r="I176" s="176"/>
      <c r="J176" s="182"/>
      <c r="K176" s="183">
        <v>0.05</v>
      </c>
      <c r="L176" s="184">
        <v>0.03</v>
      </c>
      <c r="M176" s="411">
        <v>6.7613252197430695E-3</v>
      </c>
      <c r="N176" s="411">
        <v>6.7840413503472783E-3</v>
      </c>
      <c r="O176" s="412">
        <v>6.7260265197617072E-3</v>
      </c>
      <c r="P176" s="29"/>
      <c r="Q176" s="461">
        <v>0.65</v>
      </c>
      <c r="R176" s="343">
        <v>0.68250000000000011</v>
      </c>
      <c r="S176" s="356">
        <v>0.68932500000000008</v>
      </c>
      <c r="T176" s="185">
        <v>0.05</v>
      </c>
      <c r="U176" s="186">
        <v>0.01</v>
      </c>
      <c r="W176" s="467">
        <v>0.05</v>
      </c>
      <c r="X176" s="486">
        <v>0.1</v>
      </c>
      <c r="Y176" s="389">
        <v>0.1</v>
      </c>
      <c r="AA176" s="410">
        <v>0.63157894736842102</v>
      </c>
      <c r="AB176" s="411">
        <v>0.64722222222222237</v>
      </c>
      <c r="AC176" s="412">
        <v>0.65480555555555564</v>
      </c>
      <c r="AE176" s="187">
        <v>21.05263157894737</v>
      </c>
      <c r="AF176" s="62">
        <v>21.684210526315791</v>
      </c>
      <c r="AG176" s="69">
        <v>22.768421052631581</v>
      </c>
      <c r="AH176" s="185">
        <v>0.03</v>
      </c>
      <c r="AI176" s="186">
        <v>0.05</v>
      </c>
      <c r="AK176" s="187">
        <v>25.263157894736842</v>
      </c>
      <c r="AL176" s="62">
        <v>26.02105263157895</v>
      </c>
      <c r="AM176" s="69">
        <v>27.322105263157898</v>
      </c>
      <c r="AN176" s="420">
        <v>0.03</v>
      </c>
      <c r="AO176" s="443">
        <v>0.05</v>
      </c>
      <c r="AQ176" s="187">
        <v>20</v>
      </c>
      <c r="AR176" s="64">
        <v>19.515789473684212</v>
      </c>
      <c r="AS176" s="65">
        <v>20.491578947368424</v>
      </c>
      <c r="AT176" s="178">
        <v>-2.421052631578946E-2</v>
      </c>
      <c r="AU176" s="179">
        <v>5.0000000000000044E-2</v>
      </c>
      <c r="AW176" s="188">
        <v>52.631578947368553</v>
      </c>
      <c r="AX176" s="177">
        <v>116.66666666666674</v>
      </c>
      <c r="AY176" s="177">
        <v>120.16666666666674</v>
      </c>
      <c r="BA176" s="188">
        <v>631.57894736842104</v>
      </c>
      <c r="BB176" s="177">
        <v>679.58333333333348</v>
      </c>
      <c r="BC176" s="177">
        <v>708.1722083333334</v>
      </c>
      <c r="BE176" s="223">
        <v>368.42105263157896</v>
      </c>
      <c r="BF176" s="177">
        <v>370.41666666666652</v>
      </c>
      <c r="BG176" s="177">
        <v>373.3277916666666</v>
      </c>
      <c r="BI176" s="188">
        <v>1052.6315789473686</v>
      </c>
      <c r="BJ176" s="177">
        <v>1166.6666666666667</v>
      </c>
      <c r="BK176" s="189">
        <v>1201.6666666666667</v>
      </c>
      <c r="BM176" s="454">
        <v>50</v>
      </c>
      <c r="BN176" s="177">
        <v>53.802588996763753</v>
      </c>
      <c r="BO176" s="177">
        <v>52.777777777777771</v>
      </c>
      <c r="BP176" s="178">
        <v>7.6051779935275121E-2</v>
      </c>
      <c r="BQ176" s="179">
        <v>-1.9047619047619091E-2</v>
      </c>
      <c r="BR176" s="411">
        <v>1.1025358324145534E-2</v>
      </c>
      <c r="BS176" s="411">
        <v>1.1161360906619672E-2</v>
      </c>
      <c r="BT176" s="412">
        <v>1.1085477346132314E-2</v>
      </c>
      <c r="BV176" s="454">
        <v>4</v>
      </c>
      <c r="BW176" s="473">
        <v>4</v>
      </c>
      <c r="BX176" s="180">
        <v>0</v>
      </c>
      <c r="BY176" s="454">
        <v>4</v>
      </c>
      <c r="BZ176" s="188">
        <v>1191.5423677106883</v>
      </c>
      <c r="CA176" s="180">
        <v>296.88559192767207</v>
      </c>
      <c r="CB176" s="190">
        <v>5</v>
      </c>
      <c r="CC176" s="246">
        <v>22.61904761904762</v>
      </c>
      <c r="CD176" s="430">
        <v>3.5238095238095237</v>
      </c>
      <c r="CF176" s="490">
        <v>1241.344956707452</v>
      </c>
      <c r="CG176" s="481">
        <v>45981.486104705182</v>
      </c>
      <c r="CH176" s="178">
        <v>4.3202960518675546E-2</v>
      </c>
      <c r="CI176" s="246">
        <v>70.396825396825392</v>
      </c>
      <c r="CJ176" s="189">
        <v>26281.091365740733</v>
      </c>
      <c r="CK176" s="281">
        <v>0.7</v>
      </c>
      <c r="CM176" s="240">
        <v>12.5</v>
      </c>
      <c r="CN176" s="241">
        <v>9.000532385947789E-2</v>
      </c>
      <c r="CO176" s="242">
        <v>3.8218390804597693</v>
      </c>
    </row>
    <row r="177" spans="2:93" outlineLevel="1" x14ac:dyDescent="0.25">
      <c r="B177" s="15"/>
      <c r="C177" s="53"/>
      <c r="D177" s="53"/>
      <c r="E177" s="198" t="s">
        <v>110</v>
      </c>
      <c r="F177" s="454">
        <v>1000</v>
      </c>
      <c r="G177" s="177">
        <v>1050</v>
      </c>
      <c r="H177" s="177">
        <v>1081.5</v>
      </c>
      <c r="I177" s="176"/>
      <c r="J177" s="182"/>
      <c r="K177" s="183">
        <v>0.05</v>
      </c>
      <c r="L177" s="184">
        <v>0.03</v>
      </c>
      <c r="M177" s="411">
        <v>6.7613252197430695E-3</v>
      </c>
      <c r="N177" s="411">
        <v>6.7840413503472783E-3</v>
      </c>
      <c r="O177" s="412">
        <v>6.7260265197617072E-3</v>
      </c>
      <c r="P177" s="29"/>
      <c r="Q177" s="461">
        <v>0.65</v>
      </c>
      <c r="R177" s="343">
        <v>0.68250000000000011</v>
      </c>
      <c r="S177" s="356">
        <v>0.68932500000000008</v>
      </c>
      <c r="T177" s="185">
        <v>0.05</v>
      </c>
      <c r="U177" s="186">
        <v>0.01</v>
      </c>
      <c r="W177" s="467">
        <v>0.05</v>
      </c>
      <c r="X177" s="486">
        <v>0.1</v>
      </c>
      <c r="Y177" s="389">
        <v>0.1</v>
      </c>
      <c r="AA177" s="410">
        <v>0.63157894736842102</v>
      </c>
      <c r="AB177" s="411">
        <v>0.64722222222222237</v>
      </c>
      <c r="AC177" s="412">
        <v>0.65480555555555564</v>
      </c>
      <c r="AE177" s="187">
        <v>21.05263157894737</v>
      </c>
      <c r="AF177" s="62">
        <v>21.684210526315791</v>
      </c>
      <c r="AG177" s="69">
        <v>22.768421052631581</v>
      </c>
      <c r="AH177" s="185">
        <v>0.03</v>
      </c>
      <c r="AI177" s="186">
        <v>0.05</v>
      </c>
      <c r="AK177" s="187">
        <v>25.263157894736842</v>
      </c>
      <c r="AL177" s="62">
        <v>26.02105263157895</v>
      </c>
      <c r="AM177" s="69">
        <v>27.322105263157898</v>
      </c>
      <c r="AN177" s="420">
        <v>0.03</v>
      </c>
      <c r="AO177" s="443">
        <v>0.05</v>
      </c>
      <c r="AQ177" s="187">
        <v>20</v>
      </c>
      <c r="AR177" s="64">
        <v>19.515789473684212</v>
      </c>
      <c r="AS177" s="65">
        <v>20.491578947368424</v>
      </c>
      <c r="AT177" s="178">
        <v>-2.421052631578946E-2</v>
      </c>
      <c r="AU177" s="179">
        <v>5.0000000000000044E-2</v>
      </c>
      <c r="AW177" s="188">
        <v>52.631578947368553</v>
      </c>
      <c r="AX177" s="177">
        <v>116.66666666666674</v>
      </c>
      <c r="AY177" s="177">
        <v>120.16666666666674</v>
      </c>
      <c r="BA177" s="188">
        <v>631.57894736842104</v>
      </c>
      <c r="BB177" s="177">
        <v>679.58333333333348</v>
      </c>
      <c r="BC177" s="177">
        <v>708.1722083333334</v>
      </c>
      <c r="BE177" s="223">
        <v>368.42105263157896</v>
      </c>
      <c r="BF177" s="177">
        <v>370.41666666666652</v>
      </c>
      <c r="BG177" s="177">
        <v>373.3277916666666</v>
      </c>
      <c r="BI177" s="188">
        <v>1052.6315789473686</v>
      </c>
      <c r="BJ177" s="177">
        <v>1166.6666666666667</v>
      </c>
      <c r="BK177" s="189">
        <v>1201.6666666666667</v>
      </c>
      <c r="BM177" s="454">
        <v>50</v>
      </c>
      <c r="BN177" s="177">
        <v>53.802588996763753</v>
      </c>
      <c r="BO177" s="177">
        <v>52.777777777777771</v>
      </c>
      <c r="BP177" s="178">
        <v>7.6051779935275121E-2</v>
      </c>
      <c r="BQ177" s="179">
        <v>-1.9047619047619091E-2</v>
      </c>
      <c r="BR177" s="411">
        <v>1.1025358324145534E-2</v>
      </c>
      <c r="BS177" s="411">
        <v>1.1161360906619672E-2</v>
      </c>
      <c r="BT177" s="412">
        <v>1.1085477346132314E-2</v>
      </c>
      <c r="BV177" s="454">
        <v>4</v>
      </c>
      <c r="BW177" s="473">
        <v>4</v>
      </c>
      <c r="BX177" s="180">
        <v>0</v>
      </c>
      <c r="BY177" s="454">
        <v>4</v>
      </c>
      <c r="BZ177" s="188">
        <v>1191.5423677106883</v>
      </c>
      <c r="CA177" s="180">
        <v>296.88559192767207</v>
      </c>
      <c r="CB177" s="190">
        <v>5</v>
      </c>
      <c r="CC177" s="246">
        <v>22.61904761904762</v>
      </c>
      <c r="CD177" s="430">
        <v>3.5238095238095237</v>
      </c>
      <c r="CF177" s="490">
        <v>1241.344956707452</v>
      </c>
      <c r="CG177" s="481">
        <v>45981.486104705182</v>
      </c>
      <c r="CH177" s="178">
        <v>4.3202960518675546E-2</v>
      </c>
      <c r="CI177" s="246">
        <v>70.396825396825392</v>
      </c>
      <c r="CJ177" s="189">
        <v>26281.091365740733</v>
      </c>
      <c r="CK177" s="281">
        <v>0.7</v>
      </c>
      <c r="CM177" s="240">
        <v>12.5</v>
      </c>
      <c r="CN177" s="241">
        <v>9.000532385947789E-2</v>
      </c>
      <c r="CO177" s="242">
        <v>3.8218390804597693</v>
      </c>
    </row>
    <row r="178" spans="2:93" outlineLevel="1" x14ac:dyDescent="0.25">
      <c r="B178" s="199"/>
      <c r="C178" s="73"/>
      <c r="D178" s="73"/>
      <c r="E178" s="198" t="s">
        <v>111</v>
      </c>
      <c r="F178" s="454">
        <v>1000</v>
      </c>
      <c r="G178" s="177">
        <v>1050</v>
      </c>
      <c r="H178" s="177">
        <v>1081.5</v>
      </c>
      <c r="I178" s="191"/>
      <c r="J178" s="182"/>
      <c r="K178" s="183">
        <v>0.05</v>
      </c>
      <c r="L178" s="184">
        <v>0.03</v>
      </c>
      <c r="M178" s="411">
        <v>6.7613252197430695E-3</v>
      </c>
      <c r="N178" s="411">
        <v>6.7840413503472783E-3</v>
      </c>
      <c r="O178" s="412">
        <v>6.7260265197617072E-3</v>
      </c>
      <c r="P178" s="29"/>
      <c r="Q178" s="461">
        <v>0.65</v>
      </c>
      <c r="R178" s="343">
        <v>0.68250000000000011</v>
      </c>
      <c r="S178" s="356">
        <v>0.68932500000000008</v>
      </c>
      <c r="T178" s="185">
        <v>0.05</v>
      </c>
      <c r="U178" s="186">
        <v>0.01</v>
      </c>
      <c r="W178" s="467">
        <v>0.05</v>
      </c>
      <c r="X178" s="486">
        <v>0.1</v>
      </c>
      <c r="Y178" s="389">
        <v>0.1</v>
      </c>
      <c r="AA178" s="410">
        <v>0.63157894736842102</v>
      </c>
      <c r="AB178" s="411">
        <v>0.64722222222222237</v>
      </c>
      <c r="AC178" s="412">
        <v>0.65480555555555564</v>
      </c>
      <c r="AE178" s="187">
        <v>21.05263157894737</v>
      </c>
      <c r="AF178" s="62">
        <v>21.684210526315791</v>
      </c>
      <c r="AG178" s="69">
        <v>22.768421052631581</v>
      </c>
      <c r="AH178" s="185">
        <v>0.03</v>
      </c>
      <c r="AI178" s="186">
        <v>0.05</v>
      </c>
      <c r="AK178" s="187">
        <v>25.263157894736842</v>
      </c>
      <c r="AL178" s="62">
        <v>26.02105263157895</v>
      </c>
      <c r="AM178" s="69">
        <v>27.322105263157898</v>
      </c>
      <c r="AN178" s="420">
        <v>0.03</v>
      </c>
      <c r="AO178" s="443">
        <v>0.05</v>
      </c>
      <c r="AQ178" s="187">
        <v>20</v>
      </c>
      <c r="AR178" s="64">
        <v>19.515789473684212</v>
      </c>
      <c r="AS178" s="65">
        <v>20.491578947368424</v>
      </c>
      <c r="AT178" s="178">
        <v>-2.421052631578946E-2</v>
      </c>
      <c r="AU178" s="179">
        <v>5.0000000000000044E-2</v>
      </c>
      <c r="AW178" s="188">
        <v>52.631578947368553</v>
      </c>
      <c r="AX178" s="177">
        <v>116.66666666666674</v>
      </c>
      <c r="AY178" s="177">
        <v>120.16666666666674</v>
      </c>
      <c r="BA178" s="188">
        <v>631.57894736842104</v>
      </c>
      <c r="BB178" s="177">
        <v>679.58333333333348</v>
      </c>
      <c r="BC178" s="177">
        <v>708.1722083333334</v>
      </c>
      <c r="BE178" s="223">
        <v>368.42105263157896</v>
      </c>
      <c r="BF178" s="177">
        <v>370.41666666666652</v>
      </c>
      <c r="BG178" s="177">
        <v>373.3277916666666</v>
      </c>
      <c r="BI178" s="188">
        <v>1052.6315789473686</v>
      </c>
      <c r="BJ178" s="177">
        <v>1166.6666666666667</v>
      </c>
      <c r="BK178" s="189">
        <v>1201.6666666666667</v>
      </c>
      <c r="BM178" s="454">
        <v>50</v>
      </c>
      <c r="BN178" s="177">
        <v>53.802588996763753</v>
      </c>
      <c r="BO178" s="177">
        <v>52.777777777777771</v>
      </c>
      <c r="BP178" s="178">
        <v>7.6051779935275121E-2</v>
      </c>
      <c r="BQ178" s="179">
        <v>-1.9047619047619091E-2</v>
      </c>
      <c r="BR178" s="411">
        <v>1.1025358324145534E-2</v>
      </c>
      <c r="BS178" s="411">
        <v>1.1161360906619672E-2</v>
      </c>
      <c r="BT178" s="412">
        <v>1.1085477346132314E-2</v>
      </c>
      <c r="BV178" s="454">
        <v>4</v>
      </c>
      <c r="BW178" s="473">
        <v>4</v>
      </c>
      <c r="BX178" s="180">
        <v>0</v>
      </c>
      <c r="BY178" s="454">
        <v>4</v>
      </c>
      <c r="BZ178" s="188">
        <v>1191.5423677106883</v>
      </c>
      <c r="CA178" s="180">
        <v>296.88559192767207</v>
      </c>
      <c r="CB178" s="190">
        <v>5</v>
      </c>
      <c r="CC178" s="246">
        <v>22.61904761904762</v>
      </c>
      <c r="CD178" s="430">
        <v>3.5238095238095237</v>
      </c>
      <c r="CF178" s="490">
        <v>1241.344956707452</v>
      </c>
      <c r="CG178" s="481">
        <v>45981.486104705182</v>
      </c>
      <c r="CH178" s="178">
        <v>4.3202960518675546E-2</v>
      </c>
      <c r="CI178" s="246">
        <v>70.396825396825392</v>
      </c>
      <c r="CJ178" s="189">
        <v>26281.091365740733</v>
      </c>
      <c r="CK178" s="281">
        <v>0.7</v>
      </c>
      <c r="CM178" s="240">
        <v>12.5</v>
      </c>
      <c r="CN178" s="241">
        <v>9.000532385947789E-2</v>
      </c>
      <c r="CO178" s="242">
        <v>3.8218390804597693</v>
      </c>
    </row>
    <row r="179" spans="2:93" ht="13.5" customHeight="1" x14ac:dyDescent="0.25">
      <c r="B179" s="540" t="s">
        <v>116</v>
      </c>
      <c r="C179" s="540"/>
      <c r="D179" s="540"/>
      <c r="E179" s="540"/>
      <c r="F179" s="88">
        <v>4000</v>
      </c>
      <c r="G179" s="89">
        <v>4200</v>
      </c>
      <c r="H179" s="89">
        <v>4326</v>
      </c>
      <c r="I179" s="89"/>
      <c r="J179" s="103"/>
      <c r="K179" s="91">
        <v>5.0000000000000044E-2</v>
      </c>
      <c r="L179" s="103">
        <v>3.0000000000000027E-2</v>
      </c>
      <c r="M179" s="367">
        <v>2.7045300878972278E-2</v>
      </c>
      <c r="N179" s="367">
        <v>2.7136165401389113E-2</v>
      </c>
      <c r="O179" s="94">
        <v>2.6904106079046829E-2</v>
      </c>
      <c r="P179" s="29"/>
      <c r="Q179" s="345">
        <v>0.68157894736842117</v>
      </c>
      <c r="R179" s="346">
        <v>0.74722222222222245</v>
      </c>
      <c r="S179" s="349">
        <v>0.75480555555555573</v>
      </c>
      <c r="T179" s="93">
        <v>9.6310596310596353E-2</v>
      </c>
      <c r="U179" s="92">
        <v>1.0148698884758334E-2</v>
      </c>
      <c r="V179" s="13"/>
      <c r="W179" s="375">
        <v>5.0000000000000121E-2</v>
      </c>
      <c r="X179" s="376">
        <v>0.10000000000000006</v>
      </c>
      <c r="Y179" s="377">
        <v>0.10000000000000006</v>
      </c>
      <c r="AA179" s="366">
        <v>0.63157894736842102</v>
      </c>
      <c r="AB179" s="367">
        <v>0.64722222222222237</v>
      </c>
      <c r="AC179" s="94">
        <v>0.65480555555555564</v>
      </c>
      <c r="AE179" s="95">
        <v>19.999999999999996</v>
      </c>
      <c r="AF179" s="96">
        <v>20.599999999999998</v>
      </c>
      <c r="AG179" s="99">
        <v>21.63</v>
      </c>
      <c r="AH179" s="93">
        <v>0.03</v>
      </c>
      <c r="AI179" s="92">
        <v>0.05</v>
      </c>
      <c r="AK179" s="95">
        <v>23.999999999999996</v>
      </c>
      <c r="AL179" s="96">
        <v>24.719999999999995</v>
      </c>
      <c r="AM179" s="99">
        <v>25.956</v>
      </c>
      <c r="AN179" s="93">
        <v>0.03</v>
      </c>
      <c r="AO179" s="92">
        <v>0.05</v>
      </c>
      <c r="AQ179" s="95">
        <v>20</v>
      </c>
      <c r="AR179" s="96">
        <v>19.515789473684212</v>
      </c>
      <c r="AS179" s="99">
        <v>20.491578947368424</v>
      </c>
      <c r="AT179" s="91">
        <v>-2.421052631578946E-2</v>
      </c>
      <c r="AU179" s="92">
        <v>5.0000000000000044E-2</v>
      </c>
      <c r="AW179" s="88">
        <v>210.52631578947421</v>
      </c>
      <c r="AX179" s="89">
        <v>466.66666666666697</v>
      </c>
      <c r="AY179" s="89">
        <v>480.66666666666697</v>
      </c>
      <c r="BA179" s="88">
        <v>2526.3157894736842</v>
      </c>
      <c r="BB179" s="89">
        <v>2718.3333333333339</v>
      </c>
      <c r="BC179" s="89">
        <v>2832.6888333333336</v>
      </c>
      <c r="BE179" s="88">
        <v>1473.6842105263158</v>
      </c>
      <c r="BF179" s="89">
        <v>1481.6666666666661</v>
      </c>
      <c r="BG179" s="89">
        <v>1493.3111666666664</v>
      </c>
      <c r="BI179" s="100">
        <v>4210.5263157894742</v>
      </c>
      <c r="BJ179" s="101">
        <v>4666.666666666667</v>
      </c>
      <c r="BK179" s="102">
        <v>4806.666666666667</v>
      </c>
      <c r="BM179" s="88">
        <v>200</v>
      </c>
      <c r="BN179" s="89">
        <v>215.21035598705501</v>
      </c>
      <c r="BO179" s="89">
        <v>211.11111111111109</v>
      </c>
      <c r="BP179" s="91">
        <v>7.6051779935275121E-2</v>
      </c>
      <c r="BQ179" s="92">
        <v>-1.9047619047619091E-2</v>
      </c>
      <c r="BR179" s="367">
        <v>4.4101433296582136E-2</v>
      </c>
      <c r="BS179" s="367">
        <v>4.4645443626478688E-2</v>
      </c>
      <c r="BT179" s="94">
        <v>4.4341909384529254E-2</v>
      </c>
      <c r="BV179" s="88">
        <v>16</v>
      </c>
      <c r="BW179" s="285">
        <v>16</v>
      </c>
      <c r="BX179" s="93">
        <v>0</v>
      </c>
      <c r="BY179" s="88">
        <v>16</v>
      </c>
      <c r="BZ179" s="285">
        <v>4766.1694708427531</v>
      </c>
      <c r="CA179" s="93">
        <v>296.88559192767207</v>
      </c>
      <c r="CB179" s="285">
        <v>20</v>
      </c>
      <c r="CC179" s="282">
        <v>90.476190476190482</v>
      </c>
      <c r="CD179" s="103">
        <v>3.5238095238095237</v>
      </c>
      <c r="CF179" s="115">
        <v>4965.3798268298078</v>
      </c>
      <c r="CG179" s="102">
        <v>183925.94441882073</v>
      </c>
      <c r="CH179" s="252">
        <v>4.3202960518675546E-2</v>
      </c>
      <c r="CI179" s="115">
        <v>281.58730158730157</v>
      </c>
      <c r="CJ179" s="102">
        <v>105124.36546296293</v>
      </c>
      <c r="CK179" s="308">
        <v>0.7</v>
      </c>
      <c r="CM179" s="290">
        <v>12.5</v>
      </c>
      <c r="CN179" s="291">
        <v>9.000532385947789E-2</v>
      </c>
      <c r="CO179" s="292">
        <v>3.8218390804597693</v>
      </c>
    </row>
    <row r="180" spans="2:93" outlineLevel="1" x14ac:dyDescent="0.25">
      <c r="B180" s="160" t="s">
        <v>107</v>
      </c>
      <c r="C180" s="23" t="s">
        <v>117</v>
      </c>
      <c r="D180" s="23" t="s">
        <v>31</v>
      </c>
      <c r="E180" s="198" t="s">
        <v>108</v>
      </c>
      <c r="F180" s="454">
        <v>1000</v>
      </c>
      <c r="G180" s="177">
        <v>1050</v>
      </c>
      <c r="H180" s="177">
        <v>1081.5</v>
      </c>
      <c r="I180" s="161"/>
      <c r="J180" s="182"/>
      <c r="K180" s="183">
        <v>0.05</v>
      </c>
      <c r="L180" s="184">
        <v>0.03</v>
      </c>
      <c r="M180" s="411">
        <v>6.7613252197430695E-3</v>
      </c>
      <c r="N180" s="411">
        <v>6.7840413503472783E-3</v>
      </c>
      <c r="O180" s="412">
        <v>6.7260265197617072E-3</v>
      </c>
      <c r="P180" s="29"/>
      <c r="Q180" s="461">
        <v>0.65</v>
      </c>
      <c r="R180" s="343">
        <v>0.68250000000000011</v>
      </c>
      <c r="S180" s="356">
        <v>0.68932500000000008</v>
      </c>
      <c r="T180" s="185">
        <v>0.05</v>
      </c>
      <c r="U180" s="186">
        <v>0.01</v>
      </c>
      <c r="V180" s="29"/>
      <c r="W180" s="467">
        <v>0.05</v>
      </c>
      <c r="X180" s="486">
        <v>0.1</v>
      </c>
      <c r="Y180" s="389">
        <v>0.1</v>
      </c>
      <c r="AA180" s="410">
        <v>0.63157894736842102</v>
      </c>
      <c r="AB180" s="411">
        <v>0.64722222222222237</v>
      </c>
      <c r="AC180" s="412">
        <v>0.65480555555555564</v>
      </c>
      <c r="AE180" s="187">
        <v>21.05263157894737</v>
      </c>
      <c r="AF180" s="62">
        <v>21.684210526315791</v>
      </c>
      <c r="AG180" s="69">
        <v>22.768421052631581</v>
      </c>
      <c r="AH180" s="185">
        <v>0.03</v>
      </c>
      <c r="AI180" s="186">
        <v>0.05</v>
      </c>
      <c r="AK180" s="187">
        <v>25.263157894736842</v>
      </c>
      <c r="AL180" s="62">
        <v>26.02105263157895</v>
      </c>
      <c r="AM180" s="69">
        <v>27.322105263157898</v>
      </c>
      <c r="AN180" s="420">
        <v>0.03</v>
      </c>
      <c r="AO180" s="443">
        <v>0.05</v>
      </c>
      <c r="AQ180" s="187">
        <v>20</v>
      </c>
      <c r="AR180" s="64">
        <v>19.515789473684212</v>
      </c>
      <c r="AS180" s="65">
        <v>20.491578947368424</v>
      </c>
      <c r="AT180" s="178">
        <v>-2.421052631578946E-2</v>
      </c>
      <c r="AU180" s="179">
        <v>5.0000000000000044E-2</v>
      </c>
      <c r="AW180" s="188">
        <v>52.631578947368553</v>
      </c>
      <c r="AX180" s="177">
        <v>116.66666666666674</v>
      </c>
      <c r="AY180" s="177">
        <v>120.16666666666674</v>
      </c>
      <c r="BA180" s="188">
        <v>631.57894736842104</v>
      </c>
      <c r="BB180" s="177">
        <v>679.58333333333348</v>
      </c>
      <c r="BC180" s="177">
        <v>708.1722083333334</v>
      </c>
      <c r="BE180" s="223">
        <v>368.42105263157896</v>
      </c>
      <c r="BF180" s="177">
        <v>370.41666666666652</v>
      </c>
      <c r="BG180" s="177">
        <v>373.3277916666666</v>
      </c>
      <c r="BI180" s="188">
        <v>1052.6315789473686</v>
      </c>
      <c r="BJ180" s="177">
        <v>1166.6666666666667</v>
      </c>
      <c r="BK180" s="189">
        <v>1201.6666666666667</v>
      </c>
      <c r="BM180" s="454">
        <v>50</v>
      </c>
      <c r="BN180" s="177">
        <v>53.802588996763753</v>
      </c>
      <c r="BO180" s="177">
        <v>52.777777777777771</v>
      </c>
      <c r="BP180" s="178">
        <v>7.6051779935275121E-2</v>
      </c>
      <c r="BQ180" s="179">
        <v>-1.9047619047619091E-2</v>
      </c>
      <c r="BR180" s="411">
        <v>1.1025358324145534E-2</v>
      </c>
      <c r="BS180" s="411">
        <v>1.1161360906619672E-2</v>
      </c>
      <c r="BT180" s="412">
        <v>1.1085477346132314E-2</v>
      </c>
      <c r="BV180" s="454">
        <v>4</v>
      </c>
      <c r="BW180" s="473">
        <v>4</v>
      </c>
      <c r="BX180" s="180">
        <v>0</v>
      </c>
      <c r="BY180" s="454">
        <v>4</v>
      </c>
      <c r="BZ180" s="188">
        <v>1191.5423677106883</v>
      </c>
      <c r="CA180" s="180">
        <v>296.88559192767207</v>
      </c>
      <c r="CB180" s="190">
        <v>5</v>
      </c>
      <c r="CC180" s="246">
        <v>22.61904761904762</v>
      </c>
      <c r="CD180" s="430">
        <v>3.5238095238095237</v>
      </c>
      <c r="CF180" s="490">
        <v>1241.344956707452</v>
      </c>
      <c r="CG180" s="481">
        <v>45981.486104705182</v>
      </c>
      <c r="CH180" s="178">
        <v>4.3202960518675546E-2</v>
      </c>
      <c r="CI180" s="246">
        <v>70.396825396825392</v>
      </c>
      <c r="CJ180" s="189">
        <v>26281.091365740733</v>
      </c>
      <c r="CK180" s="281">
        <v>0.7</v>
      </c>
      <c r="CM180" s="240">
        <v>12.5</v>
      </c>
      <c r="CN180" s="241">
        <v>9.000532385947789E-2</v>
      </c>
      <c r="CO180" s="242">
        <v>3.8218390804597693</v>
      </c>
    </row>
    <row r="181" spans="2:93" outlineLevel="1" x14ac:dyDescent="0.25">
      <c r="B181" s="15"/>
      <c r="C181" s="53"/>
      <c r="D181" s="53"/>
      <c r="E181" s="198" t="s">
        <v>109</v>
      </c>
      <c r="F181" s="454">
        <v>1000</v>
      </c>
      <c r="G181" s="177">
        <v>1050</v>
      </c>
      <c r="H181" s="177">
        <v>1081.5</v>
      </c>
      <c r="I181" s="176"/>
      <c r="J181" s="182"/>
      <c r="K181" s="183">
        <v>0.05</v>
      </c>
      <c r="L181" s="184">
        <v>0.03</v>
      </c>
      <c r="M181" s="411">
        <v>6.7613252197430695E-3</v>
      </c>
      <c r="N181" s="411">
        <v>6.7840413503472783E-3</v>
      </c>
      <c r="O181" s="412">
        <v>6.7260265197617072E-3</v>
      </c>
      <c r="P181" s="29"/>
      <c r="Q181" s="461">
        <v>0.65</v>
      </c>
      <c r="R181" s="343">
        <v>0.68250000000000011</v>
      </c>
      <c r="S181" s="356">
        <v>0.68932500000000008</v>
      </c>
      <c r="T181" s="185">
        <v>0.05</v>
      </c>
      <c r="U181" s="186">
        <v>0.01</v>
      </c>
      <c r="W181" s="467">
        <v>0.05</v>
      </c>
      <c r="X181" s="486">
        <v>0.1</v>
      </c>
      <c r="Y181" s="389">
        <v>0.1</v>
      </c>
      <c r="AA181" s="410">
        <v>0.63157894736842102</v>
      </c>
      <c r="AB181" s="411">
        <v>0.64722222222222237</v>
      </c>
      <c r="AC181" s="412">
        <v>0.65480555555555564</v>
      </c>
      <c r="AE181" s="187">
        <v>21.05263157894737</v>
      </c>
      <c r="AF181" s="62">
        <v>21.684210526315791</v>
      </c>
      <c r="AG181" s="69">
        <v>22.768421052631581</v>
      </c>
      <c r="AH181" s="185">
        <v>0.03</v>
      </c>
      <c r="AI181" s="186">
        <v>0.05</v>
      </c>
      <c r="AK181" s="187">
        <v>25.263157894736842</v>
      </c>
      <c r="AL181" s="62">
        <v>26.02105263157895</v>
      </c>
      <c r="AM181" s="69">
        <v>27.322105263157898</v>
      </c>
      <c r="AN181" s="420">
        <v>0.03</v>
      </c>
      <c r="AO181" s="443">
        <v>0.05</v>
      </c>
      <c r="AQ181" s="187">
        <v>20</v>
      </c>
      <c r="AR181" s="64">
        <v>19.515789473684212</v>
      </c>
      <c r="AS181" s="65">
        <v>20.491578947368424</v>
      </c>
      <c r="AT181" s="178">
        <v>-2.421052631578946E-2</v>
      </c>
      <c r="AU181" s="179">
        <v>5.0000000000000044E-2</v>
      </c>
      <c r="AW181" s="188">
        <v>52.631578947368553</v>
      </c>
      <c r="AX181" s="177">
        <v>116.66666666666674</v>
      </c>
      <c r="AY181" s="177">
        <v>120.16666666666674</v>
      </c>
      <c r="BA181" s="188">
        <v>631.57894736842104</v>
      </c>
      <c r="BB181" s="177">
        <v>679.58333333333348</v>
      </c>
      <c r="BC181" s="177">
        <v>708.1722083333334</v>
      </c>
      <c r="BE181" s="223">
        <v>368.42105263157896</v>
      </c>
      <c r="BF181" s="177">
        <v>370.41666666666652</v>
      </c>
      <c r="BG181" s="177">
        <v>373.3277916666666</v>
      </c>
      <c r="BI181" s="188">
        <v>1052.6315789473686</v>
      </c>
      <c r="BJ181" s="177">
        <v>1166.6666666666667</v>
      </c>
      <c r="BK181" s="189">
        <v>1201.6666666666667</v>
      </c>
      <c r="BM181" s="454">
        <v>50</v>
      </c>
      <c r="BN181" s="177">
        <v>53.802588996763753</v>
      </c>
      <c r="BO181" s="177">
        <v>52.777777777777771</v>
      </c>
      <c r="BP181" s="178">
        <v>7.6051779935275121E-2</v>
      </c>
      <c r="BQ181" s="179">
        <v>-1.9047619047619091E-2</v>
      </c>
      <c r="BR181" s="411">
        <v>1.1025358324145534E-2</v>
      </c>
      <c r="BS181" s="411">
        <v>1.1161360906619672E-2</v>
      </c>
      <c r="BT181" s="412">
        <v>1.1085477346132314E-2</v>
      </c>
      <c r="BV181" s="454">
        <v>4</v>
      </c>
      <c r="BW181" s="473">
        <v>4</v>
      </c>
      <c r="BX181" s="180">
        <v>0</v>
      </c>
      <c r="BY181" s="454">
        <v>4</v>
      </c>
      <c r="BZ181" s="188">
        <v>1191.5423677106883</v>
      </c>
      <c r="CA181" s="180">
        <v>296.88559192767207</v>
      </c>
      <c r="CB181" s="190">
        <v>5</v>
      </c>
      <c r="CC181" s="246">
        <v>22.61904761904762</v>
      </c>
      <c r="CD181" s="430">
        <v>3.5238095238095237</v>
      </c>
      <c r="CF181" s="490">
        <v>1241.344956707452</v>
      </c>
      <c r="CG181" s="481">
        <v>45981.486104705182</v>
      </c>
      <c r="CH181" s="178">
        <v>4.3202960518675546E-2</v>
      </c>
      <c r="CI181" s="246">
        <v>70.396825396825392</v>
      </c>
      <c r="CJ181" s="189">
        <v>26281.091365740733</v>
      </c>
      <c r="CK181" s="281">
        <v>0.7</v>
      </c>
      <c r="CM181" s="240">
        <v>12.5</v>
      </c>
      <c r="CN181" s="241">
        <v>9.000532385947789E-2</v>
      </c>
      <c r="CO181" s="242">
        <v>3.8218390804597693</v>
      </c>
    </row>
    <row r="182" spans="2:93" outlineLevel="1" x14ac:dyDescent="0.25">
      <c r="B182" s="15"/>
      <c r="C182" s="53"/>
      <c r="D182" s="53"/>
      <c r="E182" s="198" t="s">
        <v>110</v>
      </c>
      <c r="F182" s="454">
        <v>1000</v>
      </c>
      <c r="G182" s="177">
        <v>1050</v>
      </c>
      <c r="H182" s="177">
        <v>1081.5</v>
      </c>
      <c r="I182" s="176"/>
      <c r="J182" s="182"/>
      <c r="K182" s="183">
        <v>0.05</v>
      </c>
      <c r="L182" s="184">
        <v>0.03</v>
      </c>
      <c r="M182" s="411">
        <v>6.7613252197430695E-3</v>
      </c>
      <c r="N182" s="411">
        <v>6.7840413503472783E-3</v>
      </c>
      <c r="O182" s="412">
        <v>6.7260265197617072E-3</v>
      </c>
      <c r="P182" s="29"/>
      <c r="Q182" s="461">
        <v>0.65</v>
      </c>
      <c r="R182" s="343">
        <v>0.68250000000000011</v>
      </c>
      <c r="S182" s="356">
        <v>0.68932500000000008</v>
      </c>
      <c r="T182" s="185">
        <v>0.05</v>
      </c>
      <c r="U182" s="186">
        <v>0.01</v>
      </c>
      <c r="W182" s="467">
        <v>0.05</v>
      </c>
      <c r="X182" s="486">
        <v>0.1</v>
      </c>
      <c r="Y182" s="389">
        <v>0.1</v>
      </c>
      <c r="AA182" s="410">
        <v>0.63157894736842102</v>
      </c>
      <c r="AB182" s="411">
        <v>0.64722222222222237</v>
      </c>
      <c r="AC182" s="412">
        <v>0.65480555555555564</v>
      </c>
      <c r="AE182" s="187">
        <v>21.05263157894737</v>
      </c>
      <c r="AF182" s="62">
        <v>21.684210526315791</v>
      </c>
      <c r="AG182" s="69">
        <v>22.768421052631581</v>
      </c>
      <c r="AH182" s="185">
        <v>0.03</v>
      </c>
      <c r="AI182" s="186">
        <v>0.05</v>
      </c>
      <c r="AK182" s="187">
        <v>25.263157894736842</v>
      </c>
      <c r="AL182" s="62">
        <v>26.02105263157895</v>
      </c>
      <c r="AM182" s="69">
        <v>27.322105263157898</v>
      </c>
      <c r="AN182" s="420">
        <v>0.03</v>
      </c>
      <c r="AO182" s="443">
        <v>0.05</v>
      </c>
      <c r="AQ182" s="187">
        <v>20</v>
      </c>
      <c r="AR182" s="64">
        <v>19.515789473684212</v>
      </c>
      <c r="AS182" s="65">
        <v>20.491578947368424</v>
      </c>
      <c r="AT182" s="178">
        <v>-2.421052631578946E-2</v>
      </c>
      <c r="AU182" s="179">
        <v>5.0000000000000044E-2</v>
      </c>
      <c r="AW182" s="188">
        <v>52.631578947368553</v>
      </c>
      <c r="AX182" s="177">
        <v>116.66666666666674</v>
      </c>
      <c r="AY182" s="177">
        <v>120.16666666666674</v>
      </c>
      <c r="BA182" s="188">
        <v>631.57894736842104</v>
      </c>
      <c r="BB182" s="177">
        <v>679.58333333333348</v>
      </c>
      <c r="BC182" s="177">
        <v>708.1722083333334</v>
      </c>
      <c r="BE182" s="223">
        <v>368.42105263157896</v>
      </c>
      <c r="BF182" s="177">
        <v>370.41666666666652</v>
      </c>
      <c r="BG182" s="177">
        <v>373.3277916666666</v>
      </c>
      <c r="BI182" s="188">
        <v>1052.6315789473686</v>
      </c>
      <c r="BJ182" s="177">
        <v>1166.6666666666667</v>
      </c>
      <c r="BK182" s="189">
        <v>1201.6666666666667</v>
      </c>
      <c r="BM182" s="454">
        <v>50</v>
      </c>
      <c r="BN182" s="177">
        <v>53.802588996763753</v>
      </c>
      <c r="BO182" s="177">
        <v>52.777777777777771</v>
      </c>
      <c r="BP182" s="178">
        <v>7.6051779935275121E-2</v>
      </c>
      <c r="BQ182" s="179">
        <v>-1.9047619047619091E-2</v>
      </c>
      <c r="BR182" s="411">
        <v>1.1025358324145534E-2</v>
      </c>
      <c r="BS182" s="411">
        <v>1.1161360906619672E-2</v>
      </c>
      <c r="BT182" s="412">
        <v>1.1085477346132314E-2</v>
      </c>
      <c r="BV182" s="454">
        <v>4</v>
      </c>
      <c r="BW182" s="473">
        <v>4</v>
      </c>
      <c r="BX182" s="180">
        <v>0</v>
      </c>
      <c r="BY182" s="454">
        <v>4</v>
      </c>
      <c r="BZ182" s="188">
        <v>1191.5423677106883</v>
      </c>
      <c r="CA182" s="180">
        <v>296.88559192767207</v>
      </c>
      <c r="CB182" s="190">
        <v>5</v>
      </c>
      <c r="CC182" s="246">
        <v>22.61904761904762</v>
      </c>
      <c r="CD182" s="430">
        <v>3.5238095238095237</v>
      </c>
      <c r="CF182" s="490">
        <v>1241.344956707452</v>
      </c>
      <c r="CG182" s="481">
        <v>45981.486104705182</v>
      </c>
      <c r="CH182" s="178">
        <v>4.3202960518675546E-2</v>
      </c>
      <c r="CI182" s="246">
        <v>70.396825396825392</v>
      </c>
      <c r="CJ182" s="189">
        <v>26281.091365740733</v>
      </c>
      <c r="CK182" s="281">
        <v>0.7</v>
      </c>
      <c r="CM182" s="240">
        <v>12.5</v>
      </c>
      <c r="CN182" s="241">
        <v>9.000532385947789E-2</v>
      </c>
      <c r="CO182" s="242">
        <v>3.8218390804597693</v>
      </c>
    </row>
    <row r="183" spans="2:93" outlineLevel="1" x14ac:dyDescent="0.25">
      <c r="B183" s="199"/>
      <c r="C183" s="73"/>
      <c r="D183" s="73"/>
      <c r="E183" s="198" t="s">
        <v>111</v>
      </c>
      <c r="F183" s="454">
        <v>1000</v>
      </c>
      <c r="G183" s="177">
        <v>1050</v>
      </c>
      <c r="H183" s="177">
        <v>1081.5</v>
      </c>
      <c r="I183" s="191"/>
      <c r="J183" s="182"/>
      <c r="K183" s="183">
        <v>0.05</v>
      </c>
      <c r="L183" s="184">
        <v>0.03</v>
      </c>
      <c r="M183" s="411">
        <v>6.7613252197430695E-3</v>
      </c>
      <c r="N183" s="411">
        <v>6.7840413503472783E-3</v>
      </c>
      <c r="O183" s="412">
        <v>6.7260265197617072E-3</v>
      </c>
      <c r="P183" s="29"/>
      <c r="Q183" s="461">
        <v>0.65</v>
      </c>
      <c r="R183" s="343">
        <v>0.68250000000000011</v>
      </c>
      <c r="S183" s="356">
        <v>0.68932500000000008</v>
      </c>
      <c r="T183" s="185">
        <v>0.05</v>
      </c>
      <c r="U183" s="186">
        <v>0.01</v>
      </c>
      <c r="W183" s="467">
        <v>0.05</v>
      </c>
      <c r="X183" s="486">
        <v>0.1</v>
      </c>
      <c r="Y183" s="389">
        <v>0.1</v>
      </c>
      <c r="AA183" s="410">
        <v>0.63157894736842102</v>
      </c>
      <c r="AB183" s="411">
        <v>0.64722222222222237</v>
      </c>
      <c r="AC183" s="412">
        <v>0.65480555555555564</v>
      </c>
      <c r="AE183" s="187">
        <v>21.05263157894737</v>
      </c>
      <c r="AF183" s="62">
        <v>21.684210526315791</v>
      </c>
      <c r="AG183" s="69">
        <v>22.768421052631581</v>
      </c>
      <c r="AH183" s="185">
        <v>0.03</v>
      </c>
      <c r="AI183" s="186">
        <v>0.05</v>
      </c>
      <c r="AK183" s="187">
        <v>25.263157894736842</v>
      </c>
      <c r="AL183" s="62">
        <v>26.02105263157895</v>
      </c>
      <c r="AM183" s="69">
        <v>27.322105263157898</v>
      </c>
      <c r="AN183" s="420">
        <v>0.03</v>
      </c>
      <c r="AO183" s="443">
        <v>0.05</v>
      </c>
      <c r="AQ183" s="187">
        <v>20</v>
      </c>
      <c r="AR183" s="64">
        <v>19.515789473684212</v>
      </c>
      <c r="AS183" s="65">
        <v>20.491578947368424</v>
      </c>
      <c r="AT183" s="178">
        <v>-2.421052631578946E-2</v>
      </c>
      <c r="AU183" s="179">
        <v>5.0000000000000044E-2</v>
      </c>
      <c r="AW183" s="188">
        <v>52.631578947368553</v>
      </c>
      <c r="AX183" s="177">
        <v>116.66666666666674</v>
      </c>
      <c r="AY183" s="177">
        <v>120.16666666666674</v>
      </c>
      <c r="BA183" s="188">
        <v>631.57894736842104</v>
      </c>
      <c r="BB183" s="177">
        <v>679.58333333333348</v>
      </c>
      <c r="BC183" s="177">
        <v>708.1722083333334</v>
      </c>
      <c r="BE183" s="223">
        <v>368.42105263157896</v>
      </c>
      <c r="BF183" s="177">
        <v>370.41666666666652</v>
      </c>
      <c r="BG183" s="177">
        <v>373.3277916666666</v>
      </c>
      <c r="BI183" s="188">
        <v>1052.6315789473686</v>
      </c>
      <c r="BJ183" s="177">
        <v>1166.6666666666667</v>
      </c>
      <c r="BK183" s="189">
        <v>1201.6666666666667</v>
      </c>
      <c r="BM183" s="454">
        <v>50</v>
      </c>
      <c r="BN183" s="177">
        <v>53.802588996763753</v>
      </c>
      <c r="BO183" s="177">
        <v>52.777777777777771</v>
      </c>
      <c r="BP183" s="178">
        <v>7.6051779935275121E-2</v>
      </c>
      <c r="BQ183" s="179">
        <v>-1.9047619047619091E-2</v>
      </c>
      <c r="BR183" s="411">
        <v>1.1025358324145534E-2</v>
      </c>
      <c r="BS183" s="411">
        <v>1.1161360906619672E-2</v>
      </c>
      <c r="BT183" s="412">
        <v>1.1085477346132314E-2</v>
      </c>
      <c r="BV183" s="454">
        <v>4</v>
      </c>
      <c r="BW183" s="473">
        <v>4</v>
      </c>
      <c r="BX183" s="180">
        <v>0</v>
      </c>
      <c r="BY183" s="454">
        <v>4</v>
      </c>
      <c r="BZ183" s="188">
        <v>1191.5423677106883</v>
      </c>
      <c r="CA183" s="180">
        <v>296.88559192767207</v>
      </c>
      <c r="CB183" s="190">
        <v>5</v>
      </c>
      <c r="CC183" s="246">
        <v>22.61904761904762</v>
      </c>
      <c r="CD183" s="430">
        <v>3.5238095238095237</v>
      </c>
      <c r="CF183" s="490">
        <v>1241.344956707452</v>
      </c>
      <c r="CG183" s="481">
        <v>45981.486104705182</v>
      </c>
      <c r="CH183" s="178">
        <v>4.3202960518675546E-2</v>
      </c>
      <c r="CI183" s="246">
        <v>70.396825396825392</v>
      </c>
      <c r="CJ183" s="189">
        <v>26281.091365740733</v>
      </c>
      <c r="CK183" s="281">
        <v>0.7</v>
      </c>
      <c r="CM183" s="240">
        <v>12.5</v>
      </c>
      <c r="CN183" s="241">
        <v>9.000532385947789E-2</v>
      </c>
      <c r="CO183" s="242">
        <v>3.8218390804597693</v>
      </c>
    </row>
    <row r="184" spans="2:93" ht="13.5" customHeight="1" x14ac:dyDescent="0.25">
      <c r="B184" s="540" t="s">
        <v>118</v>
      </c>
      <c r="C184" s="540"/>
      <c r="D184" s="540"/>
      <c r="E184" s="540"/>
      <c r="F184" s="88">
        <v>4000</v>
      </c>
      <c r="G184" s="89">
        <v>4200</v>
      </c>
      <c r="H184" s="89">
        <v>4326</v>
      </c>
      <c r="I184" s="89"/>
      <c r="J184" s="103"/>
      <c r="K184" s="91">
        <v>5.0000000000000044E-2</v>
      </c>
      <c r="L184" s="103">
        <v>3.0000000000000027E-2</v>
      </c>
      <c r="M184" s="367">
        <v>2.7045300878972278E-2</v>
      </c>
      <c r="N184" s="367">
        <v>2.7136165401389113E-2</v>
      </c>
      <c r="O184" s="94">
        <v>2.6904106079046829E-2</v>
      </c>
      <c r="P184" s="29"/>
      <c r="Q184" s="345">
        <v>0.68157894736842117</v>
      </c>
      <c r="R184" s="346">
        <v>0.74722222222222245</v>
      </c>
      <c r="S184" s="349">
        <v>0.75480555555555573</v>
      </c>
      <c r="T184" s="93">
        <v>9.6310596310596353E-2</v>
      </c>
      <c r="U184" s="92">
        <v>1.0148698884758334E-2</v>
      </c>
      <c r="V184" s="13"/>
      <c r="W184" s="375">
        <v>5.0000000000000121E-2</v>
      </c>
      <c r="X184" s="376">
        <v>0.10000000000000006</v>
      </c>
      <c r="Y184" s="377">
        <v>0.10000000000000006</v>
      </c>
      <c r="AA184" s="366">
        <v>0.63157894736842102</v>
      </c>
      <c r="AB184" s="367">
        <v>0.64722222222222237</v>
      </c>
      <c r="AC184" s="94">
        <v>0.65480555555555564</v>
      </c>
      <c r="AE184" s="95">
        <v>19.999999999999996</v>
      </c>
      <c r="AF184" s="96">
        <v>20.599999999999998</v>
      </c>
      <c r="AG184" s="99">
        <v>21.63</v>
      </c>
      <c r="AH184" s="93">
        <v>0.03</v>
      </c>
      <c r="AI184" s="92">
        <v>0.05</v>
      </c>
      <c r="AK184" s="95">
        <v>23.999999999999996</v>
      </c>
      <c r="AL184" s="96">
        <v>24.719999999999995</v>
      </c>
      <c r="AM184" s="99">
        <v>25.956</v>
      </c>
      <c r="AN184" s="93">
        <v>0.03</v>
      </c>
      <c r="AO184" s="92">
        <v>0.05</v>
      </c>
      <c r="AQ184" s="95">
        <v>20</v>
      </c>
      <c r="AR184" s="96">
        <v>19.515789473684212</v>
      </c>
      <c r="AS184" s="99">
        <v>20.491578947368424</v>
      </c>
      <c r="AT184" s="91">
        <v>-2.421052631578946E-2</v>
      </c>
      <c r="AU184" s="92">
        <v>5.0000000000000044E-2</v>
      </c>
      <c r="AW184" s="88">
        <v>210.52631578947421</v>
      </c>
      <c r="AX184" s="89">
        <v>466.66666666666697</v>
      </c>
      <c r="AY184" s="89">
        <v>480.66666666666697</v>
      </c>
      <c r="BA184" s="88">
        <v>2526.3157894736842</v>
      </c>
      <c r="BB184" s="89">
        <v>2718.3333333333339</v>
      </c>
      <c r="BC184" s="89">
        <v>2832.6888333333336</v>
      </c>
      <c r="BE184" s="88">
        <v>1473.6842105263158</v>
      </c>
      <c r="BF184" s="89">
        <v>1481.6666666666661</v>
      </c>
      <c r="BG184" s="89">
        <v>1493.3111666666664</v>
      </c>
      <c r="BI184" s="100">
        <v>4210.5263157894742</v>
      </c>
      <c r="BJ184" s="101">
        <v>4666.666666666667</v>
      </c>
      <c r="BK184" s="102">
        <v>4806.666666666667</v>
      </c>
      <c r="BM184" s="88">
        <v>200</v>
      </c>
      <c r="BN184" s="89">
        <v>215.21035598705501</v>
      </c>
      <c r="BO184" s="89">
        <v>211.11111111111109</v>
      </c>
      <c r="BP184" s="91">
        <v>7.6051779935275121E-2</v>
      </c>
      <c r="BQ184" s="92">
        <v>-1.9047619047619091E-2</v>
      </c>
      <c r="BR184" s="367">
        <v>4.4101433296582136E-2</v>
      </c>
      <c r="BS184" s="367">
        <v>4.4645443626478688E-2</v>
      </c>
      <c r="BT184" s="94">
        <v>4.4341909384529254E-2</v>
      </c>
      <c r="BV184" s="88">
        <v>16</v>
      </c>
      <c r="BW184" s="285">
        <v>16</v>
      </c>
      <c r="BX184" s="93">
        <v>0</v>
      </c>
      <c r="BY184" s="88">
        <v>16</v>
      </c>
      <c r="BZ184" s="285">
        <v>4766.1694708427531</v>
      </c>
      <c r="CA184" s="93">
        <v>296.88559192767207</v>
      </c>
      <c r="CB184" s="285">
        <v>20</v>
      </c>
      <c r="CC184" s="282">
        <v>90.476190476190482</v>
      </c>
      <c r="CD184" s="103">
        <v>3.5238095238095237</v>
      </c>
      <c r="CF184" s="115">
        <v>4965.3798268298078</v>
      </c>
      <c r="CG184" s="102">
        <v>183925.94441882073</v>
      </c>
      <c r="CH184" s="252">
        <v>4.3202960518675546E-2</v>
      </c>
      <c r="CI184" s="115">
        <v>281.58730158730157</v>
      </c>
      <c r="CJ184" s="102">
        <v>105124.36546296293</v>
      </c>
      <c r="CK184" s="308">
        <v>0.7</v>
      </c>
      <c r="CM184" s="290">
        <v>12.5</v>
      </c>
      <c r="CN184" s="291">
        <v>9.000532385947789E-2</v>
      </c>
      <c r="CO184" s="292">
        <v>3.8218390804597693</v>
      </c>
    </row>
    <row r="185" spans="2:93" outlineLevel="1" x14ac:dyDescent="0.25">
      <c r="B185" s="160" t="s">
        <v>107</v>
      </c>
      <c r="C185" s="23" t="s">
        <v>117</v>
      </c>
      <c r="D185" s="23" t="s">
        <v>113</v>
      </c>
      <c r="E185" s="198" t="s">
        <v>108</v>
      </c>
      <c r="F185" s="454">
        <v>1000</v>
      </c>
      <c r="G185" s="177">
        <v>1050</v>
      </c>
      <c r="H185" s="177">
        <v>1081.5</v>
      </c>
      <c r="I185" s="161"/>
      <c r="J185" s="182"/>
      <c r="K185" s="183">
        <v>0.05</v>
      </c>
      <c r="L185" s="184">
        <v>0.03</v>
      </c>
      <c r="M185" s="411">
        <v>6.7613252197430695E-3</v>
      </c>
      <c r="N185" s="411">
        <v>6.7840413503472783E-3</v>
      </c>
      <c r="O185" s="412">
        <v>6.7260265197617072E-3</v>
      </c>
      <c r="P185" s="29"/>
      <c r="Q185" s="461">
        <v>0.65</v>
      </c>
      <c r="R185" s="343">
        <v>0.68250000000000011</v>
      </c>
      <c r="S185" s="356">
        <v>0.68932500000000008</v>
      </c>
      <c r="T185" s="185">
        <v>0.05</v>
      </c>
      <c r="U185" s="186">
        <v>0.01</v>
      </c>
      <c r="V185" s="29"/>
      <c r="W185" s="467">
        <v>0.05</v>
      </c>
      <c r="X185" s="486">
        <v>0.1</v>
      </c>
      <c r="Y185" s="389">
        <v>0.1</v>
      </c>
      <c r="AA185" s="410">
        <v>0.63157894736842102</v>
      </c>
      <c r="AB185" s="411">
        <v>0.64722222222222237</v>
      </c>
      <c r="AC185" s="412">
        <v>0.65480555555555564</v>
      </c>
      <c r="AE185" s="187">
        <v>21.05263157894737</v>
      </c>
      <c r="AF185" s="62">
        <v>21.684210526315791</v>
      </c>
      <c r="AG185" s="69">
        <v>22.768421052631581</v>
      </c>
      <c r="AH185" s="185">
        <v>0.03</v>
      </c>
      <c r="AI185" s="186">
        <v>0.05</v>
      </c>
      <c r="AK185" s="187">
        <v>25.263157894736842</v>
      </c>
      <c r="AL185" s="62">
        <v>26.02105263157895</v>
      </c>
      <c r="AM185" s="69">
        <v>27.322105263157898</v>
      </c>
      <c r="AN185" s="420">
        <v>0.03</v>
      </c>
      <c r="AO185" s="443">
        <v>0.05</v>
      </c>
      <c r="AQ185" s="187">
        <v>20</v>
      </c>
      <c r="AR185" s="64">
        <v>19.515789473684212</v>
      </c>
      <c r="AS185" s="65">
        <v>20.491578947368424</v>
      </c>
      <c r="AT185" s="178">
        <v>-2.421052631578946E-2</v>
      </c>
      <c r="AU185" s="179">
        <v>5.0000000000000044E-2</v>
      </c>
      <c r="AW185" s="188">
        <v>52.631578947368553</v>
      </c>
      <c r="AX185" s="177">
        <v>116.66666666666674</v>
      </c>
      <c r="AY185" s="177">
        <v>120.16666666666674</v>
      </c>
      <c r="BA185" s="188">
        <v>631.57894736842104</v>
      </c>
      <c r="BB185" s="177">
        <v>679.58333333333348</v>
      </c>
      <c r="BC185" s="177">
        <v>708.1722083333334</v>
      </c>
      <c r="BE185" s="223">
        <v>368.42105263157896</v>
      </c>
      <c r="BF185" s="177">
        <v>370.41666666666652</v>
      </c>
      <c r="BG185" s="177">
        <v>373.3277916666666</v>
      </c>
      <c r="BI185" s="188">
        <v>1052.6315789473686</v>
      </c>
      <c r="BJ185" s="177">
        <v>1166.6666666666667</v>
      </c>
      <c r="BK185" s="189">
        <v>1201.6666666666667</v>
      </c>
      <c r="BM185" s="454">
        <v>50</v>
      </c>
      <c r="BN185" s="177">
        <v>53.802588996763753</v>
      </c>
      <c r="BO185" s="177">
        <v>52.777777777777771</v>
      </c>
      <c r="BP185" s="178">
        <v>7.6051779935275121E-2</v>
      </c>
      <c r="BQ185" s="179">
        <v>-1.9047619047619091E-2</v>
      </c>
      <c r="BR185" s="411">
        <v>1.1025358324145534E-2</v>
      </c>
      <c r="BS185" s="411">
        <v>1.1161360906619672E-2</v>
      </c>
      <c r="BT185" s="412">
        <v>1.1085477346132314E-2</v>
      </c>
      <c r="BV185" s="454">
        <v>4</v>
      </c>
      <c r="BW185" s="473">
        <v>4</v>
      </c>
      <c r="BX185" s="180">
        <v>0</v>
      </c>
      <c r="BY185" s="454">
        <v>4</v>
      </c>
      <c r="BZ185" s="188">
        <v>1191.5423677106883</v>
      </c>
      <c r="CA185" s="180">
        <v>296.88559192767207</v>
      </c>
      <c r="CB185" s="190">
        <v>5</v>
      </c>
      <c r="CC185" s="246">
        <v>22.61904761904762</v>
      </c>
      <c r="CD185" s="430">
        <v>3.5238095238095237</v>
      </c>
      <c r="CF185" s="490">
        <v>1241.344956707452</v>
      </c>
      <c r="CG185" s="481">
        <v>45981.486104705182</v>
      </c>
      <c r="CH185" s="178">
        <v>4.3202960518675546E-2</v>
      </c>
      <c r="CI185" s="246">
        <v>70.396825396825392</v>
      </c>
      <c r="CJ185" s="189">
        <v>26281.091365740733</v>
      </c>
      <c r="CK185" s="281">
        <v>0.7</v>
      </c>
      <c r="CM185" s="240">
        <v>12.5</v>
      </c>
      <c r="CN185" s="241">
        <v>9.000532385947789E-2</v>
      </c>
      <c r="CO185" s="242">
        <v>3.8218390804597693</v>
      </c>
    </row>
    <row r="186" spans="2:93" outlineLevel="1" x14ac:dyDescent="0.25">
      <c r="B186" s="15"/>
      <c r="C186" s="53"/>
      <c r="D186" s="53"/>
      <c r="E186" s="198" t="s">
        <v>109</v>
      </c>
      <c r="F186" s="454">
        <v>1000</v>
      </c>
      <c r="G186" s="177">
        <v>1050</v>
      </c>
      <c r="H186" s="177">
        <v>1081.5</v>
      </c>
      <c r="I186" s="176"/>
      <c r="J186" s="182"/>
      <c r="K186" s="183">
        <v>0.05</v>
      </c>
      <c r="L186" s="184">
        <v>0.03</v>
      </c>
      <c r="M186" s="411">
        <v>6.7613252197430695E-3</v>
      </c>
      <c r="N186" s="411">
        <v>6.7840413503472783E-3</v>
      </c>
      <c r="O186" s="412">
        <v>6.7260265197617072E-3</v>
      </c>
      <c r="P186" s="29"/>
      <c r="Q186" s="461">
        <v>0.65</v>
      </c>
      <c r="R186" s="343">
        <v>0.68250000000000011</v>
      </c>
      <c r="S186" s="356">
        <v>0.68932500000000008</v>
      </c>
      <c r="T186" s="185">
        <v>0.05</v>
      </c>
      <c r="U186" s="186">
        <v>0.01</v>
      </c>
      <c r="W186" s="467">
        <v>0.05</v>
      </c>
      <c r="X186" s="486">
        <v>0.1</v>
      </c>
      <c r="Y186" s="389">
        <v>0.1</v>
      </c>
      <c r="AA186" s="410">
        <v>0.63157894736842102</v>
      </c>
      <c r="AB186" s="411">
        <v>0.64722222222222237</v>
      </c>
      <c r="AC186" s="412">
        <v>0.65480555555555564</v>
      </c>
      <c r="AE186" s="187">
        <v>21.05263157894737</v>
      </c>
      <c r="AF186" s="62">
        <v>21.684210526315791</v>
      </c>
      <c r="AG186" s="69">
        <v>22.768421052631581</v>
      </c>
      <c r="AH186" s="185">
        <v>0.03</v>
      </c>
      <c r="AI186" s="186">
        <v>0.05</v>
      </c>
      <c r="AK186" s="187">
        <v>25.263157894736842</v>
      </c>
      <c r="AL186" s="62">
        <v>26.02105263157895</v>
      </c>
      <c r="AM186" s="69">
        <v>27.322105263157898</v>
      </c>
      <c r="AN186" s="420">
        <v>0.03</v>
      </c>
      <c r="AO186" s="443">
        <v>0.05</v>
      </c>
      <c r="AQ186" s="187">
        <v>20</v>
      </c>
      <c r="AR186" s="64">
        <v>19.515789473684212</v>
      </c>
      <c r="AS186" s="65">
        <v>20.491578947368424</v>
      </c>
      <c r="AT186" s="178">
        <v>-2.421052631578946E-2</v>
      </c>
      <c r="AU186" s="179">
        <v>5.0000000000000044E-2</v>
      </c>
      <c r="AW186" s="188">
        <v>52.631578947368553</v>
      </c>
      <c r="AX186" s="177">
        <v>116.66666666666674</v>
      </c>
      <c r="AY186" s="177">
        <v>120.16666666666674</v>
      </c>
      <c r="BA186" s="188">
        <v>631.57894736842104</v>
      </c>
      <c r="BB186" s="177">
        <v>679.58333333333348</v>
      </c>
      <c r="BC186" s="177">
        <v>708.1722083333334</v>
      </c>
      <c r="BE186" s="223">
        <v>368.42105263157896</v>
      </c>
      <c r="BF186" s="177">
        <v>370.41666666666652</v>
      </c>
      <c r="BG186" s="177">
        <v>373.3277916666666</v>
      </c>
      <c r="BI186" s="188">
        <v>1052.6315789473686</v>
      </c>
      <c r="BJ186" s="177">
        <v>1166.6666666666667</v>
      </c>
      <c r="BK186" s="189">
        <v>1201.6666666666667</v>
      </c>
      <c r="BM186" s="454">
        <v>50</v>
      </c>
      <c r="BN186" s="177">
        <v>53.802588996763753</v>
      </c>
      <c r="BO186" s="177">
        <v>52.777777777777771</v>
      </c>
      <c r="BP186" s="178">
        <v>7.6051779935275121E-2</v>
      </c>
      <c r="BQ186" s="179">
        <v>-1.9047619047619091E-2</v>
      </c>
      <c r="BR186" s="411">
        <v>1.1025358324145534E-2</v>
      </c>
      <c r="BS186" s="411">
        <v>1.1161360906619672E-2</v>
      </c>
      <c r="BT186" s="412">
        <v>1.1085477346132314E-2</v>
      </c>
      <c r="BV186" s="454">
        <v>4</v>
      </c>
      <c r="BW186" s="473">
        <v>4</v>
      </c>
      <c r="BX186" s="180">
        <v>0</v>
      </c>
      <c r="BY186" s="454">
        <v>4</v>
      </c>
      <c r="BZ186" s="188">
        <v>1191.5423677106883</v>
      </c>
      <c r="CA186" s="180">
        <v>296.88559192767207</v>
      </c>
      <c r="CB186" s="190">
        <v>5</v>
      </c>
      <c r="CC186" s="246">
        <v>22.61904761904762</v>
      </c>
      <c r="CD186" s="430">
        <v>3.5238095238095237</v>
      </c>
      <c r="CF186" s="490">
        <v>1241.344956707452</v>
      </c>
      <c r="CG186" s="481">
        <v>45981.486104705182</v>
      </c>
      <c r="CH186" s="178">
        <v>4.3202960518675546E-2</v>
      </c>
      <c r="CI186" s="246">
        <v>70.396825396825392</v>
      </c>
      <c r="CJ186" s="189">
        <v>26281.091365740733</v>
      </c>
      <c r="CK186" s="281">
        <v>0.7</v>
      </c>
      <c r="CM186" s="240">
        <v>12.5</v>
      </c>
      <c r="CN186" s="241">
        <v>9.000532385947789E-2</v>
      </c>
      <c r="CO186" s="242">
        <v>3.8218390804597693</v>
      </c>
    </row>
    <row r="187" spans="2:93" outlineLevel="1" x14ac:dyDescent="0.25">
      <c r="B187" s="15"/>
      <c r="C187" s="53"/>
      <c r="D187" s="53"/>
      <c r="E187" s="198" t="s">
        <v>110</v>
      </c>
      <c r="F187" s="454">
        <v>1000</v>
      </c>
      <c r="G187" s="177">
        <v>1050</v>
      </c>
      <c r="H187" s="177">
        <v>1081.5</v>
      </c>
      <c r="I187" s="176"/>
      <c r="J187" s="182"/>
      <c r="K187" s="183">
        <v>0.05</v>
      </c>
      <c r="L187" s="184">
        <v>0.03</v>
      </c>
      <c r="M187" s="411">
        <v>6.7613252197430695E-3</v>
      </c>
      <c r="N187" s="411">
        <v>6.7840413503472783E-3</v>
      </c>
      <c r="O187" s="412">
        <v>6.7260265197617072E-3</v>
      </c>
      <c r="P187" s="29"/>
      <c r="Q187" s="461">
        <v>0.65</v>
      </c>
      <c r="R187" s="343">
        <v>0.68250000000000011</v>
      </c>
      <c r="S187" s="356">
        <v>0.68932500000000008</v>
      </c>
      <c r="T187" s="185">
        <v>0.05</v>
      </c>
      <c r="U187" s="186">
        <v>0.01</v>
      </c>
      <c r="W187" s="467">
        <v>0.05</v>
      </c>
      <c r="X187" s="486">
        <v>0.1</v>
      </c>
      <c r="Y187" s="389">
        <v>0.1</v>
      </c>
      <c r="AA187" s="410">
        <v>0.63157894736842102</v>
      </c>
      <c r="AB187" s="411">
        <v>0.64722222222222237</v>
      </c>
      <c r="AC187" s="412">
        <v>0.65480555555555564</v>
      </c>
      <c r="AE187" s="187">
        <v>21.05263157894737</v>
      </c>
      <c r="AF187" s="62">
        <v>21.684210526315791</v>
      </c>
      <c r="AG187" s="69">
        <v>22.768421052631581</v>
      </c>
      <c r="AH187" s="185">
        <v>0.03</v>
      </c>
      <c r="AI187" s="186">
        <v>0.05</v>
      </c>
      <c r="AK187" s="187">
        <v>25.263157894736842</v>
      </c>
      <c r="AL187" s="62">
        <v>26.02105263157895</v>
      </c>
      <c r="AM187" s="69">
        <v>27.322105263157898</v>
      </c>
      <c r="AN187" s="420">
        <v>0.03</v>
      </c>
      <c r="AO187" s="443">
        <v>0.05</v>
      </c>
      <c r="AQ187" s="187">
        <v>20</v>
      </c>
      <c r="AR187" s="64">
        <v>19.515789473684212</v>
      </c>
      <c r="AS187" s="65">
        <v>20.491578947368424</v>
      </c>
      <c r="AT187" s="178">
        <v>-2.421052631578946E-2</v>
      </c>
      <c r="AU187" s="179">
        <v>5.0000000000000044E-2</v>
      </c>
      <c r="AW187" s="188">
        <v>52.631578947368553</v>
      </c>
      <c r="AX187" s="177">
        <v>116.66666666666674</v>
      </c>
      <c r="AY187" s="177">
        <v>120.16666666666674</v>
      </c>
      <c r="BA187" s="188">
        <v>631.57894736842104</v>
      </c>
      <c r="BB187" s="177">
        <v>679.58333333333348</v>
      </c>
      <c r="BC187" s="177">
        <v>708.1722083333334</v>
      </c>
      <c r="BE187" s="223">
        <v>368.42105263157896</v>
      </c>
      <c r="BF187" s="177">
        <v>370.41666666666652</v>
      </c>
      <c r="BG187" s="177">
        <v>373.3277916666666</v>
      </c>
      <c r="BI187" s="188">
        <v>1052.6315789473686</v>
      </c>
      <c r="BJ187" s="177">
        <v>1166.6666666666667</v>
      </c>
      <c r="BK187" s="189">
        <v>1201.6666666666667</v>
      </c>
      <c r="BM187" s="454">
        <v>50</v>
      </c>
      <c r="BN187" s="177">
        <v>53.802588996763753</v>
      </c>
      <c r="BO187" s="177">
        <v>52.777777777777771</v>
      </c>
      <c r="BP187" s="178">
        <v>7.6051779935275121E-2</v>
      </c>
      <c r="BQ187" s="179">
        <v>-1.9047619047619091E-2</v>
      </c>
      <c r="BR187" s="411">
        <v>1.1025358324145534E-2</v>
      </c>
      <c r="BS187" s="411">
        <v>1.1161360906619672E-2</v>
      </c>
      <c r="BT187" s="412">
        <v>1.1085477346132314E-2</v>
      </c>
      <c r="BV187" s="454">
        <v>4</v>
      </c>
      <c r="BW187" s="473">
        <v>4</v>
      </c>
      <c r="BX187" s="180">
        <v>0</v>
      </c>
      <c r="BY187" s="454">
        <v>4</v>
      </c>
      <c r="BZ187" s="188">
        <v>1191.5423677106883</v>
      </c>
      <c r="CA187" s="180">
        <v>296.88559192767207</v>
      </c>
      <c r="CB187" s="190">
        <v>5</v>
      </c>
      <c r="CC187" s="246">
        <v>22.61904761904762</v>
      </c>
      <c r="CD187" s="430">
        <v>3.5238095238095237</v>
      </c>
      <c r="CF187" s="490">
        <v>1241.344956707452</v>
      </c>
      <c r="CG187" s="481">
        <v>45981.486104705182</v>
      </c>
      <c r="CH187" s="178">
        <v>4.3202960518675546E-2</v>
      </c>
      <c r="CI187" s="246">
        <v>70.396825396825392</v>
      </c>
      <c r="CJ187" s="189">
        <v>26281.091365740733</v>
      </c>
      <c r="CK187" s="281">
        <v>0.7</v>
      </c>
      <c r="CM187" s="240">
        <v>12.5</v>
      </c>
      <c r="CN187" s="241">
        <v>9.000532385947789E-2</v>
      </c>
      <c r="CO187" s="242">
        <v>3.8218390804597693</v>
      </c>
    </row>
    <row r="188" spans="2:93" outlineLevel="1" x14ac:dyDescent="0.25">
      <c r="B188" s="199"/>
      <c r="C188" s="73"/>
      <c r="D188" s="73"/>
      <c r="E188" s="198" t="s">
        <v>111</v>
      </c>
      <c r="F188" s="454">
        <v>1000</v>
      </c>
      <c r="G188" s="177">
        <v>1050</v>
      </c>
      <c r="H188" s="177">
        <v>1081.5</v>
      </c>
      <c r="I188" s="191"/>
      <c r="J188" s="182"/>
      <c r="K188" s="183">
        <v>0.05</v>
      </c>
      <c r="L188" s="184">
        <v>0.03</v>
      </c>
      <c r="M188" s="411">
        <v>6.7613252197430695E-3</v>
      </c>
      <c r="N188" s="411">
        <v>6.7840413503472783E-3</v>
      </c>
      <c r="O188" s="412">
        <v>6.7260265197617072E-3</v>
      </c>
      <c r="P188" s="29"/>
      <c r="Q188" s="461">
        <v>0.65</v>
      </c>
      <c r="R188" s="343">
        <v>0.68250000000000011</v>
      </c>
      <c r="S188" s="356">
        <v>0.68932500000000008</v>
      </c>
      <c r="T188" s="185">
        <v>0.05</v>
      </c>
      <c r="U188" s="186">
        <v>0.01</v>
      </c>
      <c r="W188" s="467">
        <v>0.05</v>
      </c>
      <c r="X188" s="486">
        <v>0.1</v>
      </c>
      <c r="Y188" s="389">
        <v>0.1</v>
      </c>
      <c r="AA188" s="410">
        <v>0.63157894736842102</v>
      </c>
      <c r="AB188" s="411">
        <v>0.64722222222222237</v>
      </c>
      <c r="AC188" s="412">
        <v>0.65480555555555564</v>
      </c>
      <c r="AE188" s="187">
        <v>21.05263157894737</v>
      </c>
      <c r="AF188" s="62">
        <v>21.684210526315791</v>
      </c>
      <c r="AG188" s="69">
        <v>22.768421052631581</v>
      </c>
      <c r="AH188" s="185">
        <v>0.03</v>
      </c>
      <c r="AI188" s="186">
        <v>0.05</v>
      </c>
      <c r="AK188" s="187">
        <v>25.263157894736842</v>
      </c>
      <c r="AL188" s="62">
        <v>26.02105263157895</v>
      </c>
      <c r="AM188" s="69">
        <v>27.322105263157898</v>
      </c>
      <c r="AN188" s="420">
        <v>0.03</v>
      </c>
      <c r="AO188" s="443">
        <v>0.05</v>
      </c>
      <c r="AQ188" s="187">
        <v>20</v>
      </c>
      <c r="AR188" s="64">
        <v>19.515789473684212</v>
      </c>
      <c r="AS188" s="65">
        <v>20.491578947368424</v>
      </c>
      <c r="AT188" s="178">
        <v>-2.421052631578946E-2</v>
      </c>
      <c r="AU188" s="179">
        <v>5.0000000000000044E-2</v>
      </c>
      <c r="AW188" s="188">
        <v>52.631578947368553</v>
      </c>
      <c r="AX188" s="177">
        <v>116.66666666666674</v>
      </c>
      <c r="AY188" s="177">
        <v>120.16666666666674</v>
      </c>
      <c r="BA188" s="188">
        <v>631.57894736842104</v>
      </c>
      <c r="BB188" s="177">
        <v>679.58333333333348</v>
      </c>
      <c r="BC188" s="177">
        <v>708.1722083333334</v>
      </c>
      <c r="BE188" s="223">
        <v>368.42105263157896</v>
      </c>
      <c r="BF188" s="177">
        <v>370.41666666666652</v>
      </c>
      <c r="BG188" s="177">
        <v>373.3277916666666</v>
      </c>
      <c r="BI188" s="188">
        <v>1052.6315789473686</v>
      </c>
      <c r="BJ188" s="177">
        <v>1166.6666666666667</v>
      </c>
      <c r="BK188" s="189">
        <v>1201.6666666666667</v>
      </c>
      <c r="BM188" s="454">
        <v>50</v>
      </c>
      <c r="BN188" s="177">
        <v>53.802588996763753</v>
      </c>
      <c r="BO188" s="177">
        <v>52.777777777777771</v>
      </c>
      <c r="BP188" s="178">
        <v>7.6051779935275121E-2</v>
      </c>
      <c r="BQ188" s="179">
        <v>-1.9047619047619091E-2</v>
      </c>
      <c r="BR188" s="411">
        <v>1.1025358324145534E-2</v>
      </c>
      <c r="BS188" s="411">
        <v>1.1161360906619672E-2</v>
      </c>
      <c r="BT188" s="412">
        <v>1.1085477346132314E-2</v>
      </c>
      <c r="BV188" s="454">
        <v>4</v>
      </c>
      <c r="BW188" s="473">
        <v>4</v>
      </c>
      <c r="BX188" s="180">
        <v>0</v>
      </c>
      <c r="BY188" s="454">
        <v>4</v>
      </c>
      <c r="BZ188" s="188">
        <v>1191.5423677106883</v>
      </c>
      <c r="CA188" s="180">
        <v>296.88559192767207</v>
      </c>
      <c r="CB188" s="190">
        <v>5</v>
      </c>
      <c r="CC188" s="246">
        <v>22.61904761904762</v>
      </c>
      <c r="CD188" s="430">
        <v>3.5238095238095237</v>
      </c>
      <c r="CF188" s="490">
        <v>1241.344956707452</v>
      </c>
      <c r="CG188" s="481">
        <v>45981.486104705182</v>
      </c>
      <c r="CH188" s="178">
        <v>4.3202960518675546E-2</v>
      </c>
      <c r="CI188" s="246">
        <v>70.396825396825392</v>
      </c>
      <c r="CJ188" s="189">
        <v>26281.091365740733</v>
      </c>
      <c r="CK188" s="281">
        <v>0.7</v>
      </c>
      <c r="CM188" s="240">
        <v>12.5</v>
      </c>
      <c r="CN188" s="241">
        <v>9.000532385947789E-2</v>
      </c>
      <c r="CO188" s="242">
        <v>3.8218390804597693</v>
      </c>
    </row>
    <row r="189" spans="2:93" ht="13.5" customHeight="1" x14ac:dyDescent="0.25">
      <c r="B189" s="540" t="s">
        <v>119</v>
      </c>
      <c r="C189" s="540"/>
      <c r="D189" s="540"/>
      <c r="E189" s="540"/>
      <c r="F189" s="88">
        <v>4000</v>
      </c>
      <c r="G189" s="89">
        <v>4200</v>
      </c>
      <c r="H189" s="89">
        <v>4326</v>
      </c>
      <c r="I189" s="89"/>
      <c r="J189" s="103"/>
      <c r="K189" s="91">
        <v>5.0000000000000044E-2</v>
      </c>
      <c r="L189" s="103">
        <v>3.0000000000000027E-2</v>
      </c>
      <c r="M189" s="367">
        <v>2.7045300878972278E-2</v>
      </c>
      <c r="N189" s="367">
        <v>2.7136165401389113E-2</v>
      </c>
      <c r="O189" s="94">
        <v>2.6904106079046829E-2</v>
      </c>
      <c r="P189" s="29"/>
      <c r="Q189" s="345">
        <v>0.68157894736842117</v>
      </c>
      <c r="R189" s="346">
        <v>0.74722222222222245</v>
      </c>
      <c r="S189" s="349">
        <v>0.75480555555555573</v>
      </c>
      <c r="T189" s="93">
        <v>9.6310596310596353E-2</v>
      </c>
      <c r="U189" s="92">
        <v>1.0148698884758334E-2</v>
      </c>
      <c r="V189" s="13"/>
      <c r="W189" s="375">
        <v>5.0000000000000121E-2</v>
      </c>
      <c r="X189" s="376">
        <v>0.10000000000000006</v>
      </c>
      <c r="Y189" s="377">
        <v>0.10000000000000006</v>
      </c>
      <c r="AA189" s="366">
        <v>0.63157894736842102</v>
      </c>
      <c r="AB189" s="367">
        <v>0.64722222222222237</v>
      </c>
      <c r="AC189" s="94">
        <v>0.65480555555555564</v>
      </c>
      <c r="AE189" s="95">
        <v>19.999999999999996</v>
      </c>
      <c r="AF189" s="96">
        <v>20.599999999999998</v>
      </c>
      <c r="AG189" s="99">
        <v>21.63</v>
      </c>
      <c r="AH189" s="93">
        <v>0.03</v>
      </c>
      <c r="AI189" s="92">
        <v>0.05</v>
      </c>
      <c r="AK189" s="95">
        <v>23.999999999999996</v>
      </c>
      <c r="AL189" s="96">
        <v>24.719999999999995</v>
      </c>
      <c r="AM189" s="99">
        <v>25.956</v>
      </c>
      <c r="AN189" s="93">
        <v>0.03</v>
      </c>
      <c r="AO189" s="92">
        <v>0.05</v>
      </c>
      <c r="AQ189" s="95">
        <v>20</v>
      </c>
      <c r="AR189" s="96">
        <v>19.515789473684212</v>
      </c>
      <c r="AS189" s="99">
        <v>20.491578947368424</v>
      </c>
      <c r="AT189" s="91">
        <v>-2.421052631578946E-2</v>
      </c>
      <c r="AU189" s="92">
        <v>5.0000000000000044E-2</v>
      </c>
      <c r="AW189" s="88">
        <v>210.52631578947421</v>
      </c>
      <c r="AX189" s="89">
        <v>466.66666666666697</v>
      </c>
      <c r="AY189" s="89">
        <v>480.66666666666697</v>
      </c>
      <c r="BA189" s="88">
        <v>2526.3157894736842</v>
      </c>
      <c r="BB189" s="89">
        <v>2718.3333333333339</v>
      </c>
      <c r="BC189" s="89">
        <v>2832.6888333333336</v>
      </c>
      <c r="BE189" s="88">
        <v>1473.6842105263158</v>
      </c>
      <c r="BF189" s="89">
        <v>1481.6666666666661</v>
      </c>
      <c r="BG189" s="89">
        <v>1493.3111666666664</v>
      </c>
      <c r="BI189" s="100">
        <v>4210.5263157894742</v>
      </c>
      <c r="BJ189" s="101">
        <v>4666.666666666667</v>
      </c>
      <c r="BK189" s="102">
        <v>4806.666666666667</v>
      </c>
      <c r="BM189" s="88">
        <v>200</v>
      </c>
      <c r="BN189" s="89">
        <v>215.21035598705501</v>
      </c>
      <c r="BO189" s="89">
        <v>211.11111111111109</v>
      </c>
      <c r="BP189" s="91">
        <v>7.6051779935275121E-2</v>
      </c>
      <c r="BQ189" s="92">
        <v>-1.9047619047619091E-2</v>
      </c>
      <c r="BR189" s="367">
        <v>4.4101433296582136E-2</v>
      </c>
      <c r="BS189" s="367">
        <v>4.4645443626478688E-2</v>
      </c>
      <c r="BT189" s="94">
        <v>4.4341909384529254E-2</v>
      </c>
      <c r="BV189" s="88">
        <v>16</v>
      </c>
      <c r="BW189" s="285">
        <v>16</v>
      </c>
      <c r="BX189" s="93">
        <v>0</v>
      </c>
      <c r="BY189" s="88">
        <v>16</v>
      </c>
      <c r="BZ189" s="285">
        <v>4766.1694708427531</v>
      </c>
      <c r="CA189" s="93">
        <v>296.88559192767207</v>
      </c>
      <c r="CB189" s="285">
        <v>20</v>
      </c>
      <c r="CC189" s="282">
        <v>90.476190476190482</v>
      </c>
      <c r="CD189" s="103">
        <v>3.5238095238095237</v>
      </c>
      <c r="CF189" s="115">
        <v>4965.3798268298078</v>
      </c>
      <c r="CG189" s="102">
        <v>183925.94441882073</v>
      </c>
      <c r="CH189" s="252">
        <v>4.3202960518675546E-2</v>
      </c>
      <c r="CI189" s="115">
        <v>281.58730158730157</v>
      </c>
      <c r="CJ189" s="102">
        <v>105124.36546296293</v>
      </c>
      <c r="CK189" s="308">
        <v>0.7</v>
      </c>
      <c r="CM189" s="290">
        <v>12.5</v>
      </c>
      <c r="CN189" s="291">
        <v>9.000532385947789E-2</v>
      </c>
      <c r="CO189" s="292">
        <v>3.8218390804597693</v>
      </c>
    </row>
    <row r="190" spans="2:93" outlineLevel="1" x14ac:dyDescent="0.25">
      <c r="B190" s="160" t="s">
        <v>107</v>
      </c>
      <c r="C190" s="23" t="s">
        <v>120</v>
      </c>
      <c r="D190" s="23" t="s">
        <v>31</v>
      </c>
      <c r="E190" s="198" t="s">
        <v>108</v>
      </c>
      <c r="F190" s="454">
        <v>1000</v>
      </c>
      <c r="G190" s="177">
        <v>1050</v>
      </c>
      <c r="H190" s="177">
        <v>1081.5</v>
      </c>
      <c r="I190" s="161"/>
      <c r="J190" s="182"/>
      <c r="K190" s="183">
        <v>0.05</v>
      </c>
      <c r="L190" s="184">
        <v>0.03</v>
      </c>
      <c r="M190" s="411">
        <v>6.7613252197430695E-3</v>
      </c>
      <c r="N190" s="411">
        <v>6.7840413503472783E-3</v>
      </c>
      <c r="O190" s="412">
        <v>6.7260265197617072E-3</v>
      </c>
      <c r="P190" s="29"/>
      <c r="Q190" s="461">
        <v>0.65</v>
      </c>
      <c r="R190" s="343">
        <v>0.68250000000000011</v>
      </c>
      <c r="S190" s="356">
        <v>0.68932500000000008</v>
      </c>
      <c r="T190" s="185">
        <v>0.05</v>
      </c>
      <c r="U190" s="186">
        <v>0.01</v>
      </c>
      <c r="V190" s="29"/>
      <c r="W190" s="467">
        <v>0.05</v>
      </c>
      <c r="X190" s="486">
        <v>0.1</v>
      </c>
      <c r="Y190" s="389">
        <v>0.1</v>
      </c>
      <c r="AA190" s="410">
        <v>0.63157894736842102</v>
      </c>
      <c r="AB190" s="411">
        <v>0.64722222222222237</v>
      </c>
      <c r="AC190" s="412">
        <v>0.65480555555555564</v>
      </c>
      <c r="AE190" s="187">
        <v>21.05263157894737</v>
      </c>
      <c r="AF190" s="62">
        <v>21.684210526315791</v>
      </c>
      <c r="AG190" s="69">
        <v>22.768421052631581</v>
      </c>
      <c r="AH190" s="185">
        <v>0.03</v>
      </c>
      <c r="AI190" s="186">
        <v>0.05</v>
      </c>
      <c r="AK190" s="187">
        <v>25.263157894736842</v>
      </c>
      <c r="AL190" s="62">
        <v>26.02105263157895</v>
      </c>
      <c r="AM190" s="69">
        <v>27.322105263157898</v>
      </c>
      <c r="AN190" s="420">
        <v>0.03</v>
      </c>
      <c r="AO190" s="443">
        <v>0.05</v>
      </c>
      <c r="AQ190" s="187">
        <v>20</v>
      </c>
      <c r="AR190" s="64">
        <v>19.515789473684212</v>
      </c>
      <c r="AS190" s="65">
        <v>20.491578947368424</v>
      </c>
      <c r="AT190" s="178">
        <v>-2.421052631578946E-2</v>
      </c>
      <c r="AU190" s="179">
        <v>5.0000000000000044E-2</v>
      </c>
      <c r="AW190" s="188">
        <v>52.631578947368553</v>
      </c>
      <c r="AX190" s="177">
        <v>116.66666666666674</v>
      </c>
      <c r="AY190" s="177">
        <v>120.16666666666674</v>
      </c>
      <c r="BA190" s="188">
        <v>631.57894736842104</v>
      </c>
      <c r="BB190" s="177">
        <v>679.58333333333348</v>
      </c>
      <c r="BC190" s="177">
        <v>708.1722083333334</v>
      </c>
      <c r="BE190" s="223">
        <v>368.42105263157896</v>
      </c>
      <c r="BF190" s="177">
        <v>370.41666666666652</v>
      </c>
      <c r="BG190" s="177">
        <v>373.3277916666666</v>
      </c>
      <c r="BI190" s="188">
        <v>1052.6315789473686</v>
      </c>
      <c r="BJ190" s="177">
        <v>1166.6666666666667</v>
      </c>
      <c r="BK190" s="189">
        <v>1201.6666666666667</v>
      </c>
      <c r="BM190" s="454">
        <v>50</v>
      </c>
      <c r="BN190" s="177">
        <v>53.802588996763753</v>
      </c>
      <c r="BO190" s="177">
        <v>52.777777777777771</v>
      </c>
      <c r="BP190" s="178">
        <v>7.6051779935275121E-2</v>
      </c>
      <c r="BQ190" s="179">
        <v>-1.9047619047619091E-2</v>
      </c>
      <c r="BR190" s="411">
        <v>1.1025358324145534E-2</v>
      </c>
      <c r="BS190" s="411">
        <v>1.1161360906619672E-2</v>
      </c>
      <c r="BT190" s="412">
        <v>1.1085477346132314E-2</v>
      </c>
      <c r="BV190" s="454">
        <v>4</v>
      </c>
      <c r="BW190" s="473">
        <v>4</v>
      </c>
      <c r="BX190" s="180">
        <v>0</v>
      </c>
      <c r="BY190" s="454">
        <v>4</v>
      </c>
      <c r="BZ190" s="188">
        <v>1191.5423677106883</v>
      </c>
      <c r="CA190" s="180">
        <v>296.88559192767207</v>
      </c>
      <c r="CB190" s="190">
        <v>5</v>
      </c>
      <c r="CC190" s="246">
        <v>22.61904761904762</v>
      </c>
      <c r="CD190" s="430">
        <v>3.5238095238095237</v>
      </c>
      <c r="CF190" s="490">
        <v>1241.344956707452</v>
      </c>
      <c r="CG190" s="481">
        <v>45981.486104705182</v>
      </c>
      <c r="CH190" s="178">
        <v>4.3202960518675546E-2</v>
      </c>
      <c r="CI190" s="246">
        <v>70.396825396825392</v>
      </c>
      <c r="CJ190" s="189">
        <v>26281.091365740733</v>
      </c>
      <c r="CK190" s="281">
        <v>0.7</v>
      </c>
      <c r="CM190" s="240">
        <v>12.5</v>
      </c>
      <c r="CN190" s="241">
        <v>9.000532385947789E-2</v>
      </c>
      <c r="CO190" s="242">
        <v>3.8218390804597693</v>
      </c>
    </row>
    <row r="191" spans="2:93" outlineLevel="1" x14ac:dyDescent="0.25">
      <c r="B191" s="15"/>
      <c r="C191" s="53"/>
      <c r="D191" s="53"/>
      <c r="E191" s="198" t="s">
        <v>109</v>
      </c>
      <c r="F191" s="454">
        <v>1000</v>
      </c>
      <c r="G191" s="177">
        <v>1050</v>
      </c>
      <c r="H191" s="177">
        <v>1081.5</v>
      </c>
      <c r="I191" s="176"/>
      <c r="J191" s="182"/>
      <c r="K191" s="183">
        <v>0.05</v>
      </c>
      <c r="L191" s="184">
        <v>0.03</v>
      </c>
      <c r="M191" s="411">
        <v>6.7613252197430695E-3</v>
      </c>
      <c r="N191" s="411">
        <v>6.7840413503472783E-3</v>
      </c>
      <c r="O191" s="412">
        <v>6.7260265197617072E-3</v>
      </c>
      <c r="P191" s="29"/>
      <c r="Q191" s="461">
        <v>0.65</v>
      </c>
      <c r="R191" s="343">
        <v>0.68250000000000011</v>
      </c>
      <c r="S191" s="356">
        <v>0.68932500000000008</v>
      </c>
      <c r="T191" s="185">
        <v>0.05</v>
      </c>
      <c r="U191" s="186">
        <v>0.01</v>
      </c>
      <c r="W191" s="467">
        <v>0.05</v>
      </c>
      <c r="X191" s="486">
        <v>0.1</v>
      </c>
      <c r="Y191" s="389">
        <v>0.1</v>
      </c>
      <c r="AA191" s="410">
        <v>0.63157894736842102</v>
      </c>
      <c r="AB191" s="411">
        <v>0.64722222222222237</v>
      </c>
      <c r="AC191" s="412">
        <v>0.65480555555555564</v>
      </c>
      <c r="AE191" s="187">
        <v>21.05263157894737</v>
      </c>
      <c r="AF191" s="62">
        <v>21.684210526315791</v>
      </c>
      <c r="AG191" s="69">
        <v>22.768421052631581</v>
      </c>
      <c r="AH191" s="185">
        <v>0.03</v>
      </c>
      <c r="AI191" s="186">
        <v>0.05</v>
      </c>
      <c r="AK191" s="187">
        <v>25.263157894736842</v>
      </c>
      <c r="AL191" s="62">
        <v>26.02105263157895</v>
      </c>
      <c r="AM191" s="69">
        <v>27.322105263157898</v>
      </c>
      <c r="AN191" s="420">
        <v>0.03</v>
      </c>
      <c r="AO191" s="443">
        <v>0.05</v>
      </c>
      <c r="AQ191" s="187">
        <v>20</v>
      </c>
      <c r="AR191" s="64">
        <v>19.515789473684212</v>
      </c>
      <c r="AS191" s="65">
        <v>20.491578947368424</v>
      </c>
      <c r="AT191" s="178">
        <v>-2.421052631578946E-2</v>
      </c>
      <c r="AU191" s="179">
        <v>5.0000000000000044E-2</v>
      </c>
      <c r="AW191" s="188">
        <v>52.631578947368553</v>
      </c>
      <c r="AX191" s="177">
        <v>116.66666666666674</v>
      </c>
      <c r="AY191" s="177">
        <v>120.16666666666674</v>
      </c>
      <c r="BA191" s="188">
        <v>631.57894736842104</v>
      </c>
      <c r="BB191" s="177">
        <v>679.58333333333348</v>
      </c>
      <c r="BC191" s="177">
        <v>708.1722083333334</v>
      </c>
      <c r="BE191" s="223">
        <v>368.42105263157896</v>
      </c>
      <c r="BF191" s="177">
        <v>370.41666666666652</v>
      </c>
      <c r="BG191" s="177">
        <v>373.3277916666666</v>
      </c>
      <c r="BI191" s="188">
        <v>1052.6315789473686</v>
      </c>
      <c r="BJ191" s="177">
        <v>1166.6666666666667</v>
      </c>
      <c r="BK191" s="189">
        <v>1201.6666666666667</v>
      </c>
      <c r="BM191" s="454">
        <v>50</v>
      </c>
      <c r="BN191" s="177">
        <v>53.802588996763753</v>
      </c>
      <c r="BO191" s="177">
        <v>52.777777777777771</v>
      </c>
      <c r="BP191" s="178">
        <v>7.6051779935275121E-2</v>
      </c>
      <c r="BQ191" s="179">
        <v>-1.9047619047619091E-2</v>
      </c>
      <c r="BR191" s="411">
        <v>1.1025358324145534E-2</v>
      </c>
      <c r="BS191" s="411">
        <v>1.1161360906619672E-2</v>
      </c>
      <c r="BT191" s="412">
        <v>1.1085477346132314E-2</v>
      </c>
      <c r="BV191" s="454">
        <v>4</v>
      </c>
      <c r="BW191" s="473">
        <v>4</v>
      </c>
      <c r="BX191" s="180">
        <v>0</v>
      </c>
      <c r="BY191" s="454">
        <v>4</v>
      </c>
      <c r="BZ191" s="188">
        <v>1191.5423677106883</v>
      </c>
      <c r="CA191" s="180">
        <v>296.88559192767207</v>
      </c>
      <c r="CB191" s="190">
        <v>5</v>
      </c>
      <c r="CC191" s="246">
        <v>22.61904761904762</v>
      </c>
      <c r="CD191" s="430">
        <v>3.5238095238095237</v>
      </c>
      <c r="CF191" s="490">
        <v>1241.344956707452</v>
      </c>
      <c r="CG191" s="481">
        <v>45981.486104705182</v>
      </c>
      <c r="CH191" s="178">
        <v>4.3202960518675546E-2</v>
      </c>
      <c r="CI191" s="246">
        <v>70.396825396825392</v>
      </c>
      <c r="CJ191" s="189">
        <v>26281.091365740733</v>
      </c>
      <c r="CK191" s="281">
        <v>0.7</v>
      </c>
      <c r="CM191" s="240">
        <v>12.5</v>
      </c>
      <c r="CN191" s="241">
        <v>9.000532385947789E-2</v>
      </c>
      <c r="CO191" s="242">
        <v>3.8218390804597693</v>
      </c>
    </row>
    <row r="192" spans="2:93" outlineLevel="1" x14ac:dyDescent="0.25">
      <c r="B192" s="15"/>
      <c r="C192" s="53"/>
      <c r="D192" s="53"/>
      <c r="E192" s="198" t="s">
        <v>110</v>
      </c>
      <c r="F192" s="454">
        <v>1000</v>
      </c>
      <c r="G192" s="177">
        <v>1050</v>
      </c>
      <c r="H192" s="177">
        <v>1081.5</v>
      </c>
      <c r="I192" s="176"/>
      <c r="J192" s="182"/>
      <c r="K192" s="183">
        <v>0.05</v>
      </c>
      <c r="L192" s="184">
        <v>0.03</v>
      </c>
      <c r="M192" s="411">
        <v>6.7613252197430695E-3</v>
      </c>
      <c r="N192" s="411">
        <v>6.7840413503472783E-3</v>
      </c>
      <c r="O192" s="412">
        <v>6.7260265197617072E-3</v>
      </c>
      <c r="P192" s="29"/>
      <c r="Q192" s="461">
        <v>0.65</v>
      </c>
      <c r="R192" s="343">
        <v>0.68250000000000011</v>
      </c>
      <c r="S192" s="356">
        <v>0.68932500000000008</v>
      </c>
      <c r="T192" s="185">
        <v>0.05</v>
      </c>
      <c r="U192" s="186">
        <v>0.01</v>
      </c>
      <c r="W192" s="467">
        <v>0.05</v>
      </c>
      <c r="X192" s="486">
        <v>0.1</v>
      </c>
      <c r="Y192" s="389">
        <v>0.1</v>
      </c>
      <c r="AA192" s="410">
        <v>0.63157894736842102</v>
      </c>
      <c r="AB192" s="411">
        <v>0.64722222222222237</v>
      </c>
      <c r="AC192" s="412">
        <v>0.65480555555555564</v>
      </c>
      <c r="AE192" s="187">
        <v>21.05263157894737</v>
      </c>
      <c r="AF192" s="62">
        <v>21.684210526315791</v>
      </c>
      <c r="AG192" s="69">
        <v>22.768421052631581</v>
      </c>
      <c r="AH192" s="185">
        <v>0.03</v>
      </c>
      <c r="AI192" s="186">
        <v>0.05</v>
      </c>
      <c r="AK192" s="187">
        <v>25.263157894736842</v>
      </c>
      <c r="AL192" s="62">
        <v>26.02105263157895</v>
      </c>
      <c r="AM192" s="69">
        <v>27.322105263157898</v>
      </c>
      <c r="AN192" s="420">
        <v>0.03</v>
      </c>
      <c r="AO192" s="443">
        <v>0.05</v>
      </c>
      <c r="AQ192" s="187">
        <v>20</v>
      </c>
      <c r="AR192" s="64">
        <v>19.515789473684212</v>
      </c>
      <c r="AS192" s="65">
        <v>20.491578947368424</v>
      </c>
      <c r="AT192" s="178">
        <v>-2.421052631578946E-2</v>
      </c>
      <c r="AU192" s="179">
        <v>5.0000000000000044E-2</v>
      </c>
      <c r="AW192" s="188">
        <v>52.631578947368553</v>
      </c>
      <c r="AX192" s="177">
        <v>116.66666666666674</v>
      </c>
      <c r="AY192" s="177">
        <v>120.16666666666674</v>
      </c>
      <c r="BA192" s="188">
        <v>631.57894736842104</v>
      </c>
      <c r="BB192" s="177">
        <v>679.58333333333348</v>
      </c>
      <c r="BC192" s="177">
        <v>708.1722083333334</v>
      </c>
      <c r="BE192" s="223">
        <v>368.42105263157896</v>
      </c>
      <c r="BF192" s="177">
        <v>370.41666666666652</v>
      </c>
      <c r="BG192" s="177">
        <v>373.3277916666666</v>
      </c>
      <c r="BI192" s="188">
        <v>1052.6315789473686</v>
      </c>
      <c r="BJ192" s="177">
        <v>1166.6666666666667</v>
      </c>
      <c r="BK192" s="189">
        <v>1201.6666666666667</v>
      </c>
      <c r="BM192" s="454">
        <v>50</v>
      </c>
      <c r="BN192" s="177">
        <v>53.802588996763753</v>
      </c>
      <c r="BO192" s="177">
        <v>52.777777777777771</v>
      </c>
      <c r="BP192" s="178">
        <v>7.6051779935275121E-2</v>
      </c>
      <c r="BQ192" s="179">
        <v>-1.9047619047619091E-2</v>
      </c>
      <c r="BR192" s="411">
        <v>1.1025358324145534E-2</v>
      </c>
      <c r="BS192" s="411">
        <v>1.1161360906619672E-2</v>
      </c>
      <c r="BT192" s="412">
        <v>1.1085477346132314E-2</v>
      </c>
      <c r="BV192" s="454">
        <v>4</v>
      </c>
      <c r="BW192" s="473">
        <v>4</v>
      </c>
      <c r="BX192" s="180">
        <v>0</v>
      </c>
      <c r="BY192" s="454">
        <v>4</v>
      </c>
      <c r="BZ192" s="188">
        <v>1191.5423677106883</v>
      </c>
      <c r="CA192" s="180">
        <v>296.88559192767207</v>
      </c>
      <c r="CB192" s="190">
        <v>5</v>
      </c>
      <c r="CC192" s="246">
        <v>22.61904761904762</v>
      </c>
      <c r="CD192" s="430">
        <v>3.5238095238095237</v>
      </c>
      <c r="CF192" s="490">
        <v>1241.344956707452</v>
      </c>
      <c r="CG192" s="481">
        <v>45981.486104705182</v>
      </c>
      <c r="CH192" s="178">
        <v>4.3202960518675546E-2</v>
      </c>
      <c r="CI192" s="246">
        <v>70.396825396825392</v>
      </c>
      <c r="CJ192" s="189">
        <v>26281.091365740733</v>
      </c>
      <c r="CK192" s="281">
        <v>0.7</v>
      </c>
      <c r="CM192" s="240">
        <v>12.5</v>
      </c>
      <c r="CN192" s="241">
        <v>9.000532385947789E-2</v>
      </c>
      <c r="CO192" s="242">
        <v>3.8218390804597693</v>
      </c>
    </row>
    <row r="193" spans="2:95" outlineLevel="1" x14ac:dyDescent="0.25">
      <c r="B193" s="199"/>
      <c r="C193" s="73"/>
      <c r="D193" s="73"/>
      <c r="E193" s="198" t="s">
        <v>111</v>
      </c>
      <c r="F193" s="454">
        <v>1000</v>
      </c>
      <c r="G193" s="177">
        <v>1050</v>
      </c>
      <c r="H193" s="177">
        <v>1081.5</v>
      </c>
      <c r="I193" s="191"/>
      <c r="J193" s="182"/>
      <c r="K193" s="183">
        <v>0.05</v>
      </c>
      <c r="L193" s="184">
        <v>0.03</v>
      </c>
      <c r="M193" s="411">
        <v>6.7613252197430695E-3</v>
      </c>
      <c r="N193" s="411">
        <v>6.7840413503472783E-3</v>
      </c>
      <c r="O193" s="412">
        <v>6.7260265197617072E-3</v>
      </c>
      <c r="P193" s="29"/>
      <c r="Q193" s="461">
        <v>0.65</v>
      </c>
      <c r="R193" s="343">
        <v>0.68250000000000011</v>
      </c>
      <c r="S193" s="356">
        <v>0.68932500000000008</v>
      </c>
      <c r="T193" s="185">
        <v>0.05</v>
      </c>
      <c r="U193" s="186">
        <v>0.01</v>
      </c>
      <c r="W193" s="467">
        <v>0.05</v>
      </c>
      <c r="X193" s="486">
        <v>0.1</v>
      </c>
      <c r="Y193" s="389">
        <v>0.1</v>
      </c>
      <c r="AA193" s="410">
        <v>0.63157894736842102</v>
      </c>
      <c r="AB193" s="411">
        <v>0.64722222222222237</v>
      </c>
      <c r="AC193" s="412">
        <v>0.65480555555555564</v>
      </c>
      <c r="AE193" s="187">
        <v>21.05263157894737</v>
      </c>
      <c r="AF193" s="62">
        <v>21.684210526315791</v>
      </c>
      <c r="AG193" s="69">
        <v>22.768421052631581</v>
      </c>
      <c r="AH193" s="185">
        <v>0.03</v>
      </c>
      <c r="AI193" s="186">
        <v>0.05</v>
      </c>
      <c r="AK193" s="187">
        <v>25.263157894736842</v>
      </c>
      <c r="AL193" s="62">
        <v>26.02105263157895</v>
      </c>
      <c r="AM193" s="69">
        <v>27.322105263157898</v>
      </c>
      <c r="AN193" s="420">
        <v>0.03</v>
      </c>
      <c r="AO193" s="443">
        <v>0.05</v>
      </c>
      <c r="AQ193" s="187">
        <v>20</v>
      </c>
      <c r="AR193" s="64">
        <v>19.515789473684212</v>
      </c>
      <c r="AS193" s="65">
        <v>20.491578947368424</v>
      </c>
      <c r="AT193" s="178">
        <v>-2.421052631578946E-2</v>
      </c>
      <c r="AU193" s="179">
        <v>5.0000000000000044E-2</v>
      </c>
      <c r="AW193" s="188">
        <v>52.631578947368553</v>
      </c>
      <c r="AX193" s="177">
        <v>116.66666666666674</v>
      </c>
      <c r="AY193" s="177">
        <v>120.16666666666674</v>
      </c>
      <c r="BA193" s="188">
        <v>631.57894736842104</v>
      </c>
      <c r="BB193" s="177">
        <v>679.58333333333348</v>
      </c>
      <c r="BC193" s="177">
        <v>708.1722083333334</v>
      </c>
      <c r="BE193" s="223">
        <v>368.42105263157896</v>
      </c>
      <c r="BF193" s="177">
        <v>370.41666666666652</v>
      </c>
      <c r="BG193" s="177">
        <v>373.3277916666666</v>
      </c>
      <c r="BI193" s="188">
        <v>1052.6315789473686</v>
      </c>
      <c r="BJ193" s="177">
        <v>1166.6666666666667</v>
      </c>
      <c r="BK193" s="189">
        <v>1201.6666666666667</v>
      </c>
      <c r="BM193" s="454">
        <v>50</v>
      </c>
      <c r="BN193" s="177">
        <v>53.802588996763753</v>
      </c>
      <c r="BO193" s="177">
        <v>52.777777777777771</v>
      </c>
      <c r="BP193" s="178">
        <v>7.6051779935275121E-2</v>
      </c>
      <c r="BQ193" s="179">
        <v>-1.9047619047619091E-2</v>
      </c>
      <c r="BR193" s="411">
        <v>1.1025358324145534E-2</v>
      </c>
      <c r="BS193" s="411">
        <v>1.1161360906619672E-2</v>
      </c>
      <c r="BT193" s="412">
        <v>1.1085477346132314E-2</v>
      </c>
      <c r="BV193" s="454">
        <v>4</v>
      </c>
      <c r="BW193" s="473">
        <v>4</v>
      </c>
      <c r="BX193" s="180">
        <v>0</v>
      </c>
      <c r="BY193" s="454">
        <v>4</v>
      </c>
      <c r="BZ193" s="188">
        <v>1191.5423677106883</v>
      </c>
      <c r="CA193" s="180">
        <v>296.88559192767207</v>
      </c>
      <c r="CB193" s="190">
        <v>5</v>
      </c>
      <c r="CC193" s="246">
        <v>22.61904761904762</v>
      </c>
      <c r="CD193" s="430">
        <v>3.5238095238095237</v>
      </c>
      <c r="CF193" s="490">
        <v>1241.344956707452</v>
      </c>
      <c r="CG193" s="481">
        <v>45981.486104705182</v>
      </c>
      <c r="CH193" s="178">
        <v>4.3202960518675546E-2</v>
      </c>
      <c r="CI193" s="246">
        <v>70.396825396825392</v>
      </c>
      <c r="CJ193" s="189">
        <v>26281.091365740733</v>
      </c>
      <c r="CK193" s="281">
        <v>0.7</v>
      </c>
      <c r="CM193" s="240">
        <v>12.5</v>
      </c>
      <c r="CN193" s="241">
        <v>9.000532385947789E-2</v>
      </c>
      <c r="CO193" s="242">
        <v>3.8218390804597693</v>
      </c>
    </row>
    <row r="194" spans="2:95" ht="13.5" customHeight="1" x14ac:dyDescent="0.25">
      <c r="B194" s="540" t="s">
        <v>121</v>
      </c>
      <c r="C194" s="540"/>
      <c r="D194" s="540"/>
      <c r="E194" s="540"/>
      <c r="F194" s="88">
        <v>4000</v>
      </c>
      <c r="G194" s="89">
        <v>4200</v>
      </c>
      <c r="H194" s="89">
        <v>4326</v>
      </c>
      <c r="I194" s="89"/>
      <c r="J194" s="103"/>
      <c r="K194" s="91">
        <v>5.0000000000000044E-2</v>
      </c>
      <c r="L194" s="103">
        <v>3.0000000000000027E-2</v>
      </c>
      <c r="M194" s="367">
        <v>2.7045300878972278E-2</v>
      </c>
      <c r="N194" s="367">
        <v>2.7136165401389113E-2</v>
      </c>
      <c r="O194" s="94">
        <v>2.6904106079046829E-2</v>
      </c>
      <c r="P194" s="29"/>
      <c r="Q194" s="345">
        <v>0.68157894736842117</v>
      </c>
      <c r="R194" s="346">
        <v>0.74722222222222245</v>
      </c>
      <c r="S194" s="349">
        <v>0.75480555555555573</v>
      </c>
      <c r="T194" s="93">
        <v>9.6310596310596353E-2</v>
      </c>
      <c r="U194" s="92">
        <v>1.0148698884758334E-2</v>
      </c>
      <c r="V194" s="13"/>
      <c r="W194" s="375">
        <v>5.0000000000000121E-2</v>
      </c>
      <c r="X194" s="376">
        <v>0.10000000000000006</v>
      </c>
      <c r="Y194" s="377">
        <v>0.10000000000000006</v>
      </c>
      <c r="AA194" s="366">
        <v>0.63157894736842102</v>
      </c>
      <c r="AB194" s="367">
        <v>0.64722222222222237</v>
      </c>
      <c r="AC194" s="94">
        <v>0.65480555555555564</v>
      </c>
      <c r="AE194" s="95">
        <v>19.999999999999996</v>
      </c>
      <c r="AF194" s="96">
        <v>20.599999999999998</v>
      </c>
      <c r="AG194" s="99">
        <v>21.63</v>
      </c>
      <c r="AH194" s="93">
        <v>0.03</v>
      </c>
      <c r="AI194" s="92">
        <v>0.05</v>
      </c>
      <c r="AK194" s="95">
        <v>23.999999999999996</v>
      </c>
      <c r="AL194" s="96">
        <v>24.719999999999995</v>
      </c>
      <c r="AM194" s="99">
        <v>25.956</v>
      </c>
      <c r="AN194" s="93">
        <v>0.03</v>
      </c>
      <c r="AO194" s="92">
        <v>0.05</v>
      </c>
      <c r="AQ194" s="95">
        <v>20</v>
      </c>
      <c r="AR194" s="96">
        <v>19.515789473684212</v>
      </c>
      <c r="AS194" s="99">
        <v>20.491578947368424</v>
      </c>
      <c r="AT194" s="91">
        <v>-2.421052631578946E-2</v>
      </c>
      <c r="AU194" s="92">
        <v>5.0000000000000044E-2</v>
      </c>
      <c r="AW194" s="88">
        <v>210.52631578947421</v>
      </c>
      <c r="AX194" s="89">
        <v>466.66666666666697</v>
      </c>
      <c r="AY194" s="89">
        <v>480.66666666666697</v>
      </c>
      <c r="BA194" s="88">
        <v>2526.3157894736842</v>
      </c>
      <c r="BB194" s="89">
        <v>2718.3333333333339</v>
      </c>
      <c r="BC194" s="89">
        <v>2832.6888333333336</v>
      </c>
      <c r="BE194" s="88">
        <v>1473.6842105263158</v>
      </c>
      <c r="BF194" s="89">
        <v>1481.6666666666661</v>
      </c>
      <c r="BG194" s="89">
        <v>1493.3111666666664</v>
      </c>
      <c r="BI194" s="100">
        <v>4210.5263157894742</v>
      </c>
      <c r="BJ194" s="101">
        <v>4666.666666666667</v>
      </c>
      <c r="BK194" s="102">
        <v>4806.666666666667</v>
      </c>
      <c r="BM194" s="88">
        <v>200</v>
      </c>
      <c r="BN194" s="89">
        <v>215.21035598705501</v>
      </c>
      <c r="BO194" s="89">
        <v>211.11111111111109</v>
      </c>
      <c r="BP194" s="91">
        <v>7.6051779935275121E-2</v>
      </c>
      <c r="BQ194" s="92">
        <v>-1.9047619047619091E-2</v>
      </c>
      <c r="BR194" s="367">
        <v>4.4101433296582136E-2</v>
      </c>
      <c r="BS194" s="367">
        <v>4.4645443626478688E-2</v>
      </c>
      <c r="BT194" s="94">
        <v>4.4341909384529254E-2</v>
      </c>
      <c r="BV194" s="88">
        <v>16</v>
      </c>
      <c r="BW194" s="285">
        <v>16</v>
      </c>
      <c r="BX194" s="93">
        <v>0</v>
      </c>
      <c r="BY194" s="88">
        <v>16</v>
      </c>
      <c r="BZ194" s="285">
        <v>4766.1694708427531</v>
      </c>
      <c r="CA194" s="93">
        <v>296.88559192767207</v>
      </c>
      <c r="CB194" s="285">
        <v>20</v>
      </c>
      <c r="CC194" s="282">
        <v>90.476190476190482</v>
      </c>
      <c r="CD194" s="103">
        <v>3.5238095238095237</v>
      </c>
      <c r="CF194" s="115">
        <v>4965.3798268298078</v>
      </c>
      <c r="CG194" s="102">
        <v>183925.94441882073</v>
      </c>
      <c r="CH194" s="252">
        <v>4.3202960518675546E-2</v>
      </c>
      <c r="CI194" s="115">
        <v>281.58730158730157</v>
      </c>
      <c r="CJ194" s="102">
        <v>105124.36546296293</v>
      </c>
      <c r="CK194" s="308">
        <v>0.7</v>
      </c>
      <c r="CM194" s="290">
        <v>12.5</v>
      </c>
      <c r="CN194" s="291">
        <v>9.000532385947789E-2</v>
      </c>
      <c r="CO194" s="292">
        <v>3.8218390804597693</v>
      </c>
    </row>
    <row r="195" spans="2:95" outlineLevel="1" x14ac:dyDescent="0.25">
      <c r="B195" s="160" t="s">
        <v>107</v>
      </c>
      <c r="C195" s="23" t="s">
        <v>120</v>
      </c>
      <c r="D195" s="23" t="s">
        <v>113</v>
      </c>
      <c r="E195" s="198" t="s">
        <v>108</v>
      </c>
      <c r="F195" s="454">
        <v>1000</v>
      </c>
      <c r="G195" s="177">
        <v>1050</v>
      </c>
      <c r="H195" s="177">
        <v>1081.5</v>
      </c>
      <c r="I195" s="161"/>
      <c r="J195" s="182"/>
      <c r="K195" s="183">
        <v>0.05</v>
      </c>
      <c r="L195" s="184">
        <v>0.03</v>
      </c>
      <c r="M195" s="411">
        <v>6.7613252197430695E-3</v>
      </c>
      <c r="N195" s="411">
        <v>6.7840413503472783E-3</v>
      </c>
      <c r="O195" s="412">
        <v>6.7260265197617072E-3</v>
      </c>
      <c r="P195" s="29"/>
      <c r="Q195" s="461">
        <v>0.65</v>
      </c>
      <c r="R195" s="343">
        <v>0.68250000000000011</v>
      </c>
      <c r="S195" s="356">
        <v>0.68932500000000008</v>
      </c>
      <c r="T195" s="185">
        <v>0.05</v>
      </c>
      <c r="U195" s="186">
        <v>0.01</v>
      </c>
      <c r="V195" s="29"/>
      <c r="W195" s="467">
        <v>0.05</v>
      </c>
      <c r="X195" s="486">
        <v>0.1</v>
      </c>
      <c r="Y195" s="389">
        <v>0.1</v>
      </c>
      <c r="AA195" s="410">
        <v>0.63157894736842102</v>
      </c>
      <c r="AB195" s="411">
        <v>0.64722222222222237</v>
      </c>
      <c r="AC195" s="412">
        <v>0.65480555555555564</v>
      </c>
      <c r="AE195" s="187">
        <v>21.05263157894737</v>
      </c>
      <c r="AF195" s="62">
        <v>21.684210526315791</v>
      </c>
      <c r="AG195" s="69">
        <v>22.768421052631581</v>
      </c>
      <c r="AH195" s="185">
        <v>0.03</v>
      </c>
      <c r="AI195" s="186">
        <v>0.05</v>
      </c>
      <c r="AK195" s="187">
        <v>25.263157894736842</v>
      </c>
      <c r="AL195" s="62">
        <v>26.02105263157895</v>
      </c>
      <c r="AM195" s="69">
        <v>27.322105263157898</v>
      </c>
      <c r="AN195" s="420">
        <v>0.03</v>
      </c>
      <c r="AO195" s="443">
        <v>0.05</v>
      </c>
      <c r="AQ195" s="187">
        <v>20</v>
      </c>
      <c r="AR195" s="64">
        <v>19.515789473684212</v>
      </c>
      <c r="AS195" s="65">
        <v>20.491578947368424</v>
      </c>
      <c r="AT195" s="178">
        <v>-2.421052631578946E-2</v>
      </c>
      <c r="AU195" s="179">
        <v>5.0000000000000044E-2</v>
      </c>
      <c r="AW195" s="188">
        <v>52.631578947368553</v>
      </c>
      <c r="AX195" s="177">
        <v>116.66666666666674</v>
      </c>
      <c r="AY195" s="177">
        <v>120.16666666666674</v>
      </c>
      <c r="BA195" s="188">
        <v>631.57894736842104</v>
      </c>
      <c r="BB195" s="177">
        <v>679.58333333333348</v>
      </c>
      <c r="BC195" s="177">
        <v>708.1722083333334</v>
      </c>
      <c r="BE195" s="223">
        <v>368.42105263157896</v>
      </c>
      <c r="BF195" s="177">
        <v>370.41666666666652</v>
      </c>
      <c r="BG195" s="177">
        <v>373.3277916666666</v>
      </c>
      <c r="BI195" s="188">
        <v>1052.6315789473686</v>
      </c>
      <c r="BJ195" s="177">
        <v>1166.6666666666667</v>
      </c>
      <c r="BK195" s="189">
        <v>1201.6666666666667</v>
      </c>
      <c r="BM195" s="454">
        <v>50</v>
      </c>
      <c r="BN195" s="177">
        <v>53.802588996763753</v>
      </c>
      <c r="BO195" s="177">
        <v>52.777777777777771</v>
      </c>
      <c r="BP195" s="178">
        <v>7.6051779935275121E-2</v>
      </c>
      <c r="BQ195" s="179">
        <v>-1.9047619047619091E-2</v>
      </c>
      <c r="BR195" s="411">
        <v>1.1025358324145534E-2</v>
      </c>
      <c r="BS195" s="411">
        <v>1.1161360906619672E-2</v>
      </c>
      <c r="BT195" s="412">
        <v>1.1085477346132314E-2</v>
      </c>
      <c r="BV195" s="454">
        <v>4</v>
      </c>
      <c r="BW195" s="473">
        <v>4</v>
      </c>
      <c r="BX195" s="180">
        <v>0</v>
      </c>
      <c r="BY195" s="454">
        <v>4</v>
      </c>
      <c r="BZ195" s="188">
        <v>1191.5423677106883</v>
      </c>
      <c r="CA195" s="180">
        <v>296.88559192767207</v>
      </c>
      <c r="CB195" s="190">
        <v>5</v>
      </c>
      <c r="CC195" s="246">
        <v>22.61904761904762</v>
      </c>
      <c r="CD195" s="430">
        <v>3.5238095238095237</v>
      </c>
      <c r="CF195" s="490">
        <v>1241.344956707452</v>
      </c>
      <c r="CG195" s="481">
        <v>45981.486104705182</v>
      </c>
      <c r="CH195" s="178">
        <v>4.3202960518675546E-2</v>
      </c>
      <c r="CI195" s="246">
        <v>70.396825396825392</v>
      </c>
      <c r="CJ195" s="189">
        <v>26281.091365740733</v>
      </c>
      <c r="CK195" s="281">
        <v>0.7</v>
      </c>
      <c r="CM195" s="240">
        <v>12.5</v>
      </c>
      <c r="CN195" s="241">
        <v>9.000532385947789E-2</v>
      </c>
      <c r="CO195" s="242">
        <v>3.8218390804597693</v>
      </c>
    </row>
    <row r="196" spans="2:95" outlineLevel="1" x14ac:dyDescent="0.25">
      <c r="B196" s="15"/>
      <c r="C196" s="53"/>
      <c r="D196" s="53"/>
      <c r="E196" s="198" t="s">
        <v>109</v>
      </c>
      <c r="F196" s="454">
        <v>1000</v>
      </c>
      <c r="G196" s="177">
        <v>1050</v>
      </c>
      <c r="H196" s="177">
        <v>1081.5</v>
      </c>
      <c r="I196" s="176"/>
      <c r="J196" s="182"/>
      <c r="K196" s="183">
        <v>0.05</v>
      </c>
      <c r="L196" s="184">
        <v>0.03</v>
      </c>
      <c r="M196" s="411">
        <v>6.7613252197430695E-3</v>
      </c>
      <c r="N196" s="411">
        <v>6.7840413503472783E-3</v>
      </c>
      <c r="O196" s="412">
        <v>6.7260265197617072E-3</v>
      </c>
      <c r="P196" s="29"/>
      <c r="Q196" s="461">
        <v>0.65</v>
      </c>
      <c r="R196" s="343">
        <v>0.68250000000000011</v>
      </c>
      <c r="S196" s="356">
        <v>0.68932500000000008</v>
      </c>
      <c r="T196" s="185">
        <v>0.05</v>
      </c>
      <c r="U196" s="186">
        <v>0.01</v>
      </c>
      <c r="W196" s="467">
        <v>0.05</v>
      </c>
      <c r="X196" s="486">
        <v>0.1</v>
      </c>
      <c r="Y196" s="389">
        <v>0.1</v>
      </c>
      <c r="AA196" s="410">
        <v>0.63157894736842102</v>
      </c>
      <c r="AB196" s="411">
        <v>0.64722222222222237</v>
      </c>
      <c r="AC196" s="412">
        <v>0.65480555555555564</v>
      </c>
      <c r="AE196" s="187">
        <v>21.05263157894737</v>
      </c>
      <c r="AF196" s="62">
        <v>21.684210526315791</v>
      </c>
      <c r="AG196" s="69">
        <v>22.768421052631581</v>
      </c>
      <c r="AH196" s="185">
        <v>0.03</v>
      </c>
      <c r="AI196" s="186">
        <v>0.05</v>
      </c>
      <c r="AK196" s="187">
        <v>25.263157894736842</v>
      </c>
      <c r="AL196" s="62">
        <v>26.02105263157895</v>
      </c>
      <c r="AM196" s="69">
        <v>27.322105263157898</v>
      </c>
      <c r="AN196" s="420">
        <v>0.03</v>
      </c>
      <c r="AO196" s="443">
        <v>0.05</v>
      </c>
      <c r="AQ196" s="187">
        <v>20</v>
      </c>
      <c r="AR196" s="64">
        <v>19.515789473684212</v>
      </c>
      <c r="AS196" s="65">
        <v>20.491578947368424</v>
      </c>
      <c r="AT196" s="178">
        <v>-2.421052631578946E-2</v>
      </c>
      <c r="AU196" s="179">
        <v>5.0000000000000044E-2</v>
      </c>
      <c r="AW196" s="188">
        <v>52.631578947368553</v>
      </c>
      <c r="AX196" s="177">
        <v>116.66666666666674</v>
      </c>
      <c r="AY196" s="177">
        <v>120.16666666666674</v>
      </c>
      <c r="BA196" s="188">
        <v>631.57894736842104</v>
      </c>
      <c r="BB196" s="177">
        <v>679.58333333333348</v>
      </c>
      <c r="BC196" s="177">
        <v>708.1722083333334</v>
      </c>
      <c r="BE196" s="223">
        <v>368.42105263157896</v>
      </c>
      <c r="BF196" s="177">
        <v>370.41666666666652</v>
      </c>
      <c r="BG196" s="177">
        <v>373.3277916666666</v>
      </c>
      <c r="BI196" s="188">
        <v>1052.6315789473686</v>
      </c>
      <c r="BJ196" s="177">
        <v>1166.6666666666667</v>
      </c>
      <c r="BK196" s="189">
        <v>1201.6666666666667</v>
      </c>
      <c r="BM196" s="454">
        <v>50</v>
      </c>
      <c r="BN196" s="177">
        <v>53.802588996763753</v>
      </c>
      <c r="BO196" s="177">
        <v>52.777777777777771</v>
      </c>
      <c r="BP196" s="178">
        <v>7.6051779935275121E-2</v>
      </c>
      <c r="BQ196" s="179">
        <v>-1.9047619047619091E-2</v>
      </c>
      <c r="BR196" s="411">
        <v>1.1025358324145534E-2</v>
      </c>
      <c r="BS196" s="411">
        <v>1.1161360906619672E-2</v>
      </c>
      <c r="BT196" s="412">
        <v>1.1085477346132314E-2</v>
      </c>
      <c r="BV196" s="454">
        <v>4</v>
      </c>
      <c r="BW196" s="473">
        <v>4</v>
      </c>
      <c r="BX196" s="180">
        <v>0</v>
      </c>
      <c r="BY196" s="454">
        <v>4</v>
      </c>
      <c r="BZ196" s="188">
        <v>1191.5423677106883</v>
      </c>
      <c r="CA196" s="180">
        <v>296.88559192767207</v>
      </c>
      <c r="CB196" s="190">
        <v>5</v>
      </c>
      <c r="CC196" s="246">
        <v>22.61904761904762</v>
      </c>
      <c r="CD196" s="430">
        <v>3.5238095238095237</v>
      </c>
      <c r="CF196" s="490">
        <v>1241.344956707452</v>
      </c>
      <c r="CG196" s="481">
        <v>45981.486104705182</v>
      </c>
      <c r="CH196" s="178">
        <v>4.3202960518675546E-2</v>
      </c>
      <c r="CI196" s="246">
        <v>70.396825396825392</v>
      </c>
      <c r="CJ196" s="189">
        <v>26281.091365740733</v>
      </c>
      <c r="CK196" s="281">
        <v>0.7</v>
      </c>
      <c r="CM196" s="240">
        <v>12.5</v>
      </c>
      <c r="CN196" s="241">
        <v>9.000532385947789E-2</v>
      </c>
      <c r="CO196" s="242">
        <v>3.8218390804597693</v>
      </c>
    </row>
    <row r="197" spans="2:95" outlineLevel="1" x14ac:dyDescent="0.25">
      <c r="B197" s="15"/>
      <c r="C197" s="53"/>
      <c r="D197" s="53"/>
      <c r="E197" s="198" t="s">
        <v>110</v>
      </c>
      <c r="F197" s="454">
        <v>1000</v>
      </c>
      <c r="G197" s="177">
        <v>1050</v>
      </c>
      <c r="H197" s="177">
        <v>1081.5</v>
      </c>
      <c r="I197" s="176"/>
      <c r="J197" s="182"/>
      <c r="K197" s="183">
        <v>0.05</v>
      </c>
      <c r="L197" s="184">
        <v>0.03</v>
      </c>
      <c r="M197" s="411">
        <v>6.7613252197430695E-3</v>
      </c>
      <c r="N197" s="411">
        <v>6.7840413503472783E-3</v>
      </c>
      <c r="O197" s="412">
        <v>6.7260265197617072E-3</v>
      </c>
      <c r="P197" s="29"/>
      <c r="Q197" s="461">
        <v>0.65</v>
      </c>
      <c r="R197" s="343">
        <v>0.68250000000000011</v>
      </c>
      <c r="S197" s="356">
        <v>0.68932500000000008</v>
      </c>
      <c r="T197" s="185">
        <v>0.05</v>
      </c>
      <c r="U197" s="186">
        <v>0.01</v>
      </c>
      <c r="W197" s="467">
        <v>0.05</v>
      </c>
      <c r="X197" s="486">
        <v>0.1</v>
      </c>
      <c r="Y197" s="389">
        <v>0.1</v>
      </c>
      <c r="AA197" s="410">
        <v>0.63157894736842102</v>
      </c>
      <c r="AB197" s="411">
        <v>0.64722222222222237</v>
      </c>
      <c r="AC197" s="412">
        <v>0.65480555555555564</v>
      </c>
      <c r="AE197" s="187">
        <v>21.05263157894737</v>
      </c>
      <c r="AF197" s="62">
        <v>21.684210526315791</v>
      </c>
      <c r="AG197" s="69">
        <v>22.768421052631581</v>
      </c>
      <c r="AH197" s="185">
        <v>0.03</v>
      </c>
      <c r="AI197" s="186">
        <v>0.05</v>
      </c>
      <c r="AK197" s="187">
        <v>25.263157894736842</v>
      </c>
      <c r="AL197" s="62">
        <v>26.02105263157895</v>
      </c>
      <c r="AM197" s="69">
        <v>27.322105263157898</v>
      </c>
      <c r="AN197" s="420">
        <v>0.03</v>
      </c>
      <c r="AO197" s="443">
        <v>0.05</v>
      </c>
      <c r="AQ197" s="187">
        <v>20</v>
      </c>
      <c r="AR197" s="64">
        <v>19.515789473684212</v>
      </c>
      <c r="AS197" s="65">
        <v>20.491578947368424</v>
      </c>
      <c r="AT197" s="178">
        <v>-2.421052631578946E-2</v>
      </c>
      <c r="AU197" s="179">
        <v>5.0000000000000044E-2</v>
      </c>
      <c r="AW197" s="188">
        <v>52.631578947368553</v>
      </c>
      <c r="AX197" s="177">
        <v>116.66666666666674</v>
      </c>
      <c r="AY197" s="177">
        <v>120.16666666666674</v>
      </c>
      <c r="BA197" s="188">
        <v>631.57894736842104</v>
      </c>
      <c r="BB197" s="177">
        <v>679.58333333333348</v>
      </c>
      <c r="BC197" s="177">
        <v>708.1722083333334</v>
      </c>
      <c r="BE197" s="223">
        <v>368.42105263157896</v>
      </c>
      <c r="BF197" s="177">
        <v>370.41666666666652</v>
      </c>
      <c r="BG197" s="177">
        <v>373.3277916666666</v>
      </c>
      <c r="BI197" s="188">
        <v>1052.6315789473686</v>
      </c>
      <c r="BJ197" s="177">
        <v>1166.6666666666667</v>
      </c>
      <c r="BK197" s="189">
        <v>1201.6666666666667</v>
      </c>
      <c r="BM197" s="454">
        <v>50</v>
      </c>
      <c r="BN197" s="177">
        <v>53.802588996763753</v>
      </c>
      <c r="BO197" s="177">
        <v>52.777777777777771</v>
      </c>
      <c r="BP197" s="178">
        <v>7.6051779935275121E-2</v>
      </c>
      <c r="BQ197" s="179">
        <v>-1.9047619047619091E-2</v>
      </c>
      <c r="BR197" s="411">
        <v>1.1025358324145534E-2</v>
      </c>
      <c r="BS197" s="411">
        <v>1.1161360906619672E-2</v>
      </c>
      <c r="BT197" s="412">
        <v>1.1085477346132314E-2</v>
      </c>
      <c r="BV197" s="454">
        <v>4</v>
      </c>
      <c r="BW197" s="473">
        <v>4</v>
      </c>
      <c r="BX197" s="180">
        <v>0</v>
      </c>
      <c r="BY197" s="454">
        <v>4</v>
      </c>
      <c r="BZ197" s="188">
        <v>1191.5423677106883</v>
      </c>
      <c r="CA197" s="180">
        <v>296.88559192767207</v>
      </c>
      <c r="CB197" s="190">
        <v>5</v>
      </c>
      <c r="CC197" s="246">
        <v>22.61904761904762</v>
      </c>
      <c r="CD197" s="430">
        <v>3.5238095238095237</v>
      </c>
      <c r="CF197" s="490">
        <v>1241.344956707452</v>
      </c>
      <c r="CG197" s="481">
        <v>45981.486104705182</v>
      </c>
      <c r="CH197" s="178">
        <v>4.3202960518675546E-2</v>
      </c>
      <c r="CI197" s="246">
        <v>70.396825396825392</v>
      </c>
      <c r="CJ197" s="189">
        <v>26281.091365740733</v>
      </c>
      <c r="CK197" s="281">
        <v>0.7</v>
      </c>
      <c r="CM197" s="240">
        <v>12.5</v>
      </c>
      <c r="CN197" s="241">
        <v>9.000532385947789E-2</v>
      </c>
      <c r="CO197" s="242">
        <v>3.8218390804597693</v>
      </c>
    </row>
    <row r="198" spans="2:95" outlineLevel="1" x14ac:dyDescent="0.25">
      <c r="B198" s="199"/>
      <c r="C198" s="73"/>
      <c r="D198" s="73"/>
      <c r="E198" s="198" t="s">
        <v>111</v>
      </c>
      <c r="F198" s="454">
        <v>1000</v>
      </c>
      <c r="G198" s="177">
        <v>1050</v>
      </c>
      <c r="H198" s="177">
        <v>1081.5</v>
      </c>
      <c r="I198" s="191"/>
      <c r="J198" s="182"/>
      <c r="K198" s="183">
        <v>0.05</v>
      </c>
      <c r="L198" s="184">
        <v>0.03</v>
      </c>
      <c r="M198" s="411">
        <v>6.7613252197430695E-3</v>
      </c>
      <c r="N198" s="411">
        <v>6.7840413503472783E-3</v>
      </c>
      <c r="O198" s="412">
        <v>6.7260265197617072E-3</v>
      </c>
      <c r="P198" s="29"/>
      <c r="Q198" s="461">
        <v>0.65</v>
      </c>
      <c r="R198" s="343">
        <v>0.68250000000000011</v>
      </c>
      <c r="S198" s="356">
        <v>0.68932500000000008</v>
      </c>
      <c r="T198" s="185">
        <v>0.05</v>
      </c>
      <c r="U198" s="186">
        <v>0.01</v>
      </c>
      <c r="W198" s="467">
        <v>0.05</v>
      </c>
      <c r="X198" s="486">
        <v>0.1</v>
      </c>
      <c r="Y198" s="389">
        <v>0.1</v>
      </c>
      <c r="AA198" s="410">
        <v>0.63157894736842102</v>
      </c>
      <c r="AB198" s="411">
        <v>0.64722222222222237</v>
      </c>
      <c r="AC198" s="412">
        <v>0.65480555555555564</v>
      </c>
      <c r="AE198" s="187">
        <v>21.05263157894737</v>
      </c>
      <c r="AF198" s="62">
        <v>21.684210526315791</v>
      </c>
      <c r="AG198" s="69">
        <v>22.768421052631581</v>
      </c>
      <c r="AH198" s="185">
        <v>0.03</v>
      </c>
      <c r="AI198" s="186">
        <v>0.05</v>
      </c>
      <c r="AK198" s="187">
        <v>25.263157894736842</v>
      </c>
      <c r="AL198" s="62">
        <v>26.02105263157895</v>
      </c>
      <c r="AM198" s="69">
        <v>27.322105263157898</v>
      </c>
      <c r="AN198" s="420">
        <v>0.03</v>
      </c>
      <c r="AO198" s="443">
        <v>0.05</v>
      </c>
      <c r="AQ198" s="187">
        <v>20</v>
      </c>
      <c r="AR198" s="64">
        <v>19.515789473684212</v>
      </c>
      <c r="AS198" s="65">
        <v>20.491578947368424</v>
      </c>
      <c r="AT198" s="178">
        <v>-2.421052631578946E-2</v>
      </c>
      <c r="AU198" s="179">
        <v>5.0000000000000044E-2</v>
      </c>
      <c r="AW198" s="188">
        <v>52.631578947368553</v>
      </c>
      <c r="AX198" s="177">
        <v>116.66666666666674</v>
      </c>
      <c r="AY198" s="177">
        <v>120.16666666666674</v>
      </c>
      <c r="BA198" s="188">
        <v>631.57894736842104</v>
      </c>
      <c r="BB198" s="177">
        <v>679.58333333333348</v>
      </c>
      <c r="BC198" s="177">
        <v>708.1722083333334</v>
      </c>
      <c r="BE198" s="223">
        <v>368.42105263157896</v>
      </c>
      <c r="BF198" s="177">
        <v>370.41666666666652</v>
      </c>
      <c r="BG198" s="177">
        <v>373.3277916666666</v>
      </c>
      <c r="BI198" s="188">
        <v>1052.6315789473686</v>
      </c>
      <c r="BJ198" s="177">
        <v>1166.6666666666667</v>
      </c>
      <c r="BK198" s="189">
        <v>1201.6666666666667</v>
      </c>
      <c r="BM198" s="454">
        <v>50</v>
      </c>
      <c r="BN198" s="177">
        <v>53.802588996763753</v>
      </c>
      <c r="BO198" s="177">
        <v>52.777777777777771</v>
      </c>
      <c r="BP198" s="178">
        <v>7.6051779935275121E-2</v>
      </c>
      <c r="BQ198" s="179">
        <v>-1.9047619047619091E-2</v>
      </c>
      <c r="BR198" s="411">
        <v>1.1025358324145534E-2</v>
      </c>
      <c r="BS198" s="411">
        <v>1.1161360906619672E-2</v>
      </c>
      <c r="BT198" s="412">
        <v>1.1085477346132314E-2</v>
      </c>
      <c r="BV198" s="454">
        <v>4</v>
      </c>
      <c r="BW198" s="473">
        <v>4</v>
      </c>
      <c r="BX198" s="180">
        <v>0</v>
      </c>
      <c r="BY198" s="454">
        <v>4</v>
      </c>
      <c r="BZ198" s="188">
        <v>1191.5423677106883</v>
      </c>
      <c r="CA198" s="180">
        <v>296.88559192767207</v>
      </c>
      <c r="CB198" s="190">
        <v>5</v>
      </c>
      <c r="CC198" s="246">
        <v>22.61904761904762</v>
      </c>
      <c r="CD198" s="430">
        <v>3.5238095238095237</v>
      </c>
      <c r="CF198" s="490">
        <v>1241.344956707452</v>
      </c>
      <c r="CG198" s="481">
        <v>45981.486104705182</v>
      </c>
      <c r="CH198" s="178">
        <v>4.3202960518675546E-2</v>
      </c>
      <c r="CI198" s="246">
        <v>70.396825396825392</v>
      </c>
      <c r="CJ198" s="189">
        <v>26281.091365740733</v>
      </c>
      <c r="CK198" s="281">
        <v>0.7</v>
      </c>
      <c r="CM198" s="240">
        <v>12.5</v>
      </c>
      <c r="CN198" s="241">
        <v>9.000532385947789E-2</v>
      </c>
      <c r="CO198" s="242">
        <v>3.8218390804597693</v>
      </c>
    </row>
    <row r="199" spans="2:95" ht="13.5" customHeight="1" x14ac:dyDescent="0.25">
      <c r="B199" s="540" t="s">
        <v>122</v>
      </c>
      <c r="C199" s="540"/>
      <c r="D199" s="540"/>
      <c r="E199" s="540"/>
      <c r="F199" s="88">
        <v>4000</v>
      </c>
      <c r="G199" s="89">
        <v>4200</v>
      </c>
      <c r="H199" s="89">
        <v>4326</v>
      </c>
      <c r="I199" s="89"/>
      <c r="J199" s="103"/>
      <c r="K199" s="202">
        <v>5.0000000000000044E-2</v>
      </c>
      <c r="L199" s="203">
        <v>3.0000000000000027E-2</v>
      </c>
      <c r="M199" s="367">
        <v>2.7045300878972278E-2</v>
      </c>
      <c r="N199" s="367">
        <v>2.7136165401389113E-2</v>
      </c>
      <c r="O199" s="94">
        <v>2.6904106079046829E-2</v>
      </c>
      <c r="P199" s="29"/>
      <c r="Q199" s="345">
        <v>0.68157894736842117</v>
      </c>
      <c r="R199" s="346">
        <v>0.74722222222222245</v>
      </c>
      <c r="S199" s="349">
        <v>0.75480555555555573</v>
      </c>
      <c r="T199" s="93">
        <v>9.6310596310596353E-2</v>
      </c>
      <c r="U199" s="92">
        <v>1.0148698884758334E-2</v>
      </c>
      <c r="V199" s="13"/>
      <c r="W199" s="375">
        <v>5.0000000000000121E-2</v>
      </c>
      <c r="X199" s="376">
        <v>0.10000000000000006</v>
      </c>
      <c r="Y199" s="377">
        <v>0.10000000000000006</v>
      </c>
      <c r="AA199" s="366">
        <v>0.63157894736842102</v>
      </c>
      <c r="AB199" s="367">
        <v>0.64722222222222237</v>
      </c>
      <c r="AC199" s="94">
        <v>0.65480555555555564</v>
      </c>
      <c r="AE199" s="95">
        <v>19.999999999999996</v>
      </c>
      <c r="AF199" s="96">
        <v>20.599999999999998</v>
      </c>
      <c r="AG199" s="99">
        <v>21.63</v>
      </c>
      <c r="AH199" s="93">
        <v>0.03</v>
      </c>
      <c r="AI199" s="92">
        <v>0.05</v>
      </c>
      <c r="AK199" s="95">
        <v>23.999999999999996</v>
      </c>
      <c r="AL199" s="96">
        <v>24.719999999999995</v>
      </c>
      <c r="AM199" s="99">
        <v>25.956</v>
      </c>
      <c r="AN199" s="93">
        <v>0.03</v>
      </c>
      <c r="AO199" s="92">
        <v>0.05</v>
      </c>
      <c r="AQ199" s="95">
        <v>20</v>
      </c>
      <c r="AR199" s="96">
        <v>19.515789473684212</v>
      </c>
      <c r="AS199" s="99">
        <v>20.491578947368424</v>
      </c>
      <c r="AT199" s="91">
        <v>-2.421052631578946E-2</v>
      </c>
      <c r="AU199" s="92">
        <v>5.0000000000000044E-2</v>
      </c>
      <c r="AW199" s="88">
        <v>210.52631578947421</v>
      </c>
      <c r="AX199" s="89">
        <v>466.66666666666697</v>
      </c>
      <c r="AY199" s="89">
        <v>480.66666666666697</v>
      </c>
      <c r="BA199" s="88">
        <v>2526.3157894736842</v>
      </c>
      <c r="BB199" s="89">
        <v>2718.3333333333339</v>
      </c>
      <c r="BC199" s="89">
        <v>2832.6888333333336</v>
      </c>
      <c r="BE199" s="88">
        <v>1473.6842105263158</v>
      </c>
      <c r="BF199" s="89">
        <v>1481.6666666666661</v>
      </c>
      <c r="BG199" s="89">
        <v>1493.3111666666664</v>
      </c>
      <c r="BI199" s="100">
        <v>4210.5263157894742</v>
      </c>
      <c r="BJ199" s="101">
        <v>4666.666666666667</v>
      </c>
      <c r="BK199" s="102">
        <v>4806.666666666667</v>
      </c>
      <c r="BM199" s="88">
        <v>200</v>
      </c>
      <c r="BN199" s="89">
        <v>215.21035598705501</v>
      </c>
      <c r="BO199" s="89">
        <v>211.11111111111109</v>
      </c>
      <c r="BP199" s="91">
        <v>7.6051779935275121E-2</v>
      </c>
      <c r="BQ199" s="92">
        <v>-1.9047619047619091E-2</v>
      </c>
      <c r="BR199" s="367">
        <v>4.4101433296582136E-2</v>
      </c>
      <c r="BS199" s="367">
        <v>4.4645443626478688E-2</v>
      </c>
      <c r="BT199" s="94">
        <v>4.4341909384529254E-2</v>
      </c>
      <c r="BV199" s="88">
        <v>16</v>
      </c>
      <c r="BW199" s="285">
        <v>16</v>
      </c>
      <c r="BX199" s="93">
        <v>0</v>
      </c>
      <c r="BY199" s="88">
        <v>16</v>
      </c>
      <c r="BZ199" s="285">
        <v>4766.1694708427531</v>
      </c>
      <c r="CA199" s="93">
        <v>296.88559192767207</v>
      </c>
      <c r="CB199" s="285">
        <v>20</v>
      </c>
      <c r="CC199" s="282">
        <v>90.476190476190482</v>
      </c>
      <c r="CD199" s="103">
        <v>3.5238095238095237</v>
      </c>
      <c r="CF199" s="282">
        <v>4965.3798268298078</v>
      </c>
      <c r="CG199" s="282">
        <v>183925.94441882073</v>
      </c>
      <c r="CH199" s="252">
        <v>4.3202960518675546E-2</v>
      </c>
      <c r="CI199" s="282">
        <v>281.58730158730157</v>
      </c>
      <c r="CJ199" s="282">
        <v>105124.36546296293</v>
      </c>
      <c r="CK199" s="308">
        <v>0.7</v>
      </c>
      <c r="CM199" s="290">
        <v>12.5</v>
      </c>
      <c r="CN199" s="291">
        <v>9.000532385947789E-2</v>
      </c>
      <c r="CO199" s="292">
        <v>3.8218390804597693</v>
      </c>
    </row>
    <row r="200" spans="2:95" ht="13.5" customHeight="1" x14ac:dyDescent="0.25">
      <c r="B200" s="541" t="s">
        <v>123</v>
      </c>
      <c r="C200" s="541"/>
      <c r="D200" s="541"/>
      <c r="E200" s="541"/>
      <c r="F200" s="4">
        <v>32000</v>
      </c>
      <c r="G200" s="5">
        <v>33600</v>
      </c>
      <c r="H200" s="5">
        <v>34608</v>
      </c>
      <c r="I200" s="5"/>
      <c r="J200" s="7"/>
      <c r="K200" s="7">
        <v>5.0000000000000044E-2</v>
      </c>
      <c r="L200" s="18">
        <v>3.0000000000000027E-2</v>
      </c>
      <c r="M200" s="318">
        <v>0.21636240703177823</v>
      </c>
      <c r="N200" s="318">
        <v>0.21708932321111291</v>
      </c>
      <c r="O200" s="9">
        <v>0.21523284863237463</v>
      </c>
      <c r="Q200" s="347">
        <v>0.68157894736842106</v>
      </c>
      <c r="R200" s="348">
        <v>0.74722222222222245</v>
      </c>
      <c r="S200" s="350">
        <v>0.75480555555555573</v>
      </c>
      <c r="T200" s="7">
        <v>9.6310596310596575E-2</v>
      </c>
      <c r="U200" s="8">
        <v>1.0148698884758334E-2</v>
      </c>
      <c r="V200" s="13"/>
      <c r="W200" s="379">
        <v>5.0000000000000121E-2</v>
      </c>
      <c r="X200" s="380">
        <v>0.10000000000000006</v>
      </c>
      <c r="Y200" s="381">
        <v>0.10000000000000006</v>
      </c>
      <c r="AA200" s="402">
        <v>0.63157894736842091</v>
      </c>
      <c r="AB200" s="318">
        <v>0.64722222222222237</v>
      </c>
      <c r="AC200" s="9">
        <v>0.65480555555555564</v>
      </c>
      <c r="AE200" s="10">
        <v>19.999999999999993</v>
      </c>
      <c r="AF200" s="11">
        <v>20.599999999999994</v>
      </c>
      <c r="AG200" s="12">
        <v>21.629999999999995</v>
      </c>
      <c r="AH200" s="7">
        <v>0.03</v>
      </c>
      <c r="AI200" s="8">
        <v>0.05</v>
      </c>
      <c r="AK200" s="10">
        <v>23.999999999999989</v>
      </c>
      <c r="AL200" s="11">
        <v>24.719999999999992</v>
      </c>
      <c r="AM200" s="12">
        <v>25.955999999999992</v>
      </c>
      <c r="AN200" s="7">
        <v>0.03</v>
      </c>
      <c r="AO200" s="8">
        <v>0.05</v>
      </c>
      <c r="AQ200" s="10">
        <v>20</v>
      </c>
      <c r="AR200" s="11">
        <v>19.515789473684212</v>
      </c>
      <c r="AS200" s="12">
        <v>20.491578947368424</v>
      </c>
      <c r="AT200" s="7">
        <v>-2.421052631578946E-2</v>
      </c>
      <c r="AU200" s="8">
        <v>5.0000000000000044E-2</v>
      </c>
      <c r="AW200" s="4">
        <v>1684.2105263157937</v>
      </c>
      <c r="AX200" s="5">
        <v>3733.3333333333358</v>
      </c>
      <c r="AY200" s="5">
        <v>3845.3333333333358</v>
      </c>
      <c r="BA200" s="4">
        <v>20210.52631578947</v>
      </c>
      <c r="BB200" s="5">
        <v>21746.666666666672</v>
      </c>
      <c r="BC200" s="5">
        <v>22661.510666666669</v>
      </c>
      <c r="BE200" s="4">
        <v>11789.473684210527</v>
      </c>
      <c r="BF200" s="5">
        <v>11853.333333333328</v>
      </c>
      <c r="BG200" s="5">
        <v>11946.489333333331</v>
      </c>
      <c r="BI200" s="116">
        <v>33684.210526315794</v>
      </c>
      <c r="BJ200" s="16">
        <v>37333.333333333336</v>
      </c>
      <c r="BK200" s="17">
        <v>38453.333333333336</v>
      </c>
      <c r="BM200" s="4">
        <v>1600</v>
      </c>
      <c r="BN200" s="5">
        <v>1721.6828478964401</v>
      </c>
      <c r="BO200" s="5">
        <v>1688.8888888888887</v>
      </c>
      <c r="BP200" s="7">
        <v>7.6051779935275121E-2</v>
      </c>
      <c r="BQ200" s="8">
        <v>-1.9047619047619091E-2</v>
      </c>
      <c r="BR200" s="318">
        <v>0.35281146637265709</v>
      </c>
      <c r="BS200" s="318">
        <v>0.35716354901182951</v>
      </c>
      <c r="BT200" s="9">
        <v>0.35473527507623404</v>
      </c>
      <c r="BV200" s="4">
        <v>128</v>
      </c>
      <c r="BW200" s="289">
        <v>128</v>
      </c>
      <c r="BX200" s="204">
        <v>0</v>
      </c>
      <c r="BY200" s="4">
        <v>128</v>
      </c>
      <c r="BZ200" s="289">
        <v>38129.355766742025</v>
      </c>
      <c r="CA200" s="204">
        <v>296.88559192767207</v>
      </c>
      <c r="CB200" s="289">
        <v>160</v>
      </c>
      <c r="CC200" s="283">
        <v>723.80952380952385</v>
      </c>
      <c r="CD200" s="127">
        <v>3.5238095238095237</v>
      </c>
      <c r="CF200" s="283">
        <v>39723.038614638463</v>
      </c>
      <c r="CG200" s="283">
        <v>1471407.5553505661</v>
      </c>
      <c r="CH200" s="253">
        <v>4.3202960518675546E-2</v>
      </c>
      <c r="CI200" s="283">
        <v>2252.698412698413</v>
      </c>
      <c r="CJ200" s="283">
        <v>840994.92370370333</v>
      </c>
      <c r="CK200" s="309">
        <v>0.69999999999999984</v>
      </c>
      <c r="CM200" s="293">
        <v>12.5</v>
      </c>
      <c r="CN200" s="294">
        <v>9.000532385947789E-2</v>
      </c>
      <c r="CO200" s="295">
        <v>3.8218390804597693</v>
      </c>
    </row>
    <row r="201" spans="2:95" x14ac:dyDescent="0.25">
      <c r="N201" s="357"/>
      <c r="O201" s="357"/>
      <c r="Q201" s="357"/>
      <c r="R201" s="357"/>
      <c r="S201" s="357"/>
      <c r="W201" s="387"/>
      <c r="X201" s="387"/>
      <c r="Y201" s="387"/>
      <c r="AA201" s="357"/>
      <c r="AB201" s="357"/>
      <c r="AC201" s="357"/>
      <c r="BR201" s="357"/>
      <c r="BS201" s="357"/>
      <c r="BT201" s="357"/>
      <c r="CH201" s="312"/>
      <c r="CM201" s="302"/>
      <c r="CN201" s="302"/>
      <c r="CO201" s="303"/>
    </row>
    <row r="202" spans="2:95" s="19" customFormat="1" ht="13.5" customHeight="1" x14ac:dyDescent="0.25">
      <c r="B202" s="542" t="s">
        <v>135</v>
      </c>
      <c r="C202" s="542"/>
      <c r="D202" s="542"/>
      <c r="E202" s="542"/>
      <c r="F202" s="263">
        <v>65000</v>
      </c>
      <c r="G202" s="263">
        <v>68250</v>
      </c>
      <c r="H202" s="263">
        <v>70297.5</v>
      </c>
      <c r="I202" s="267">
        <v>0</v>
      </c>
      <c r="J202" s="268">
        <v>0</v>
      </c>
      <c r="K202" s="264">
        <v>5.0000000000000044E-2</v>
      </c>
      <c r="L202" s="268">
        <v>3.0000000000000027E-2</v>
      </c>
      <c r="M202" s="370">
        <v>0.43948613928329955</v>
      </c>
      <c r="N202" s="371">
        <v>0.44096268777257308</v>
      </c>
      <c r="O202" s="372">
        <v>0.43719172378451093</v>
      </c>
      <c r="Q202" s="358">
        <v>0.68157894736842106</v>
      </c>
      <c r="R202" s="359">
        <v>0.74722222222222234</v>
      </c>
      <c r="S202" s="360">
        <v>0.75480555555555562</v>
      </c>
      <c r="T202" s="264">
        <v>9.6310596310596575E-2</v>
      </c>
      <c r="U202" s="265">
        <v>1.0148698884758334E-2</v>
      </c>
      <c r="V202" s="256"/>
      <c r="W202" s="370">
        <v>5.000000000000019E-2</v>
      </c>
      <c r="X202" s="371">
        <v>0.10000000000000012</v>
      </c>
      <c r="Y202" s="372">
        <v>0.10000000000000012</v>
      </c>
      <c r="AA202" s="370">
        <v>0.63157894736842091</v>
      </c>
      <c r="AB202" s="371">
        <v>0.64722222222222225</v>
      </c>
      <c r="AC202" s="372">
        <v>0.65480555555555553</v>
      </c>
      <c r="AD202" s="258"/>
      <c r="AE202" s="271">
        <v>19.999999999999993</v>
      </c>
      <c r="AF202" s="272">
        <v>20.599999999999994</v>
      </c>
      <c r="AG202" s="273">
        <v>21.629999999999995</v>
      </c>
      <c r="AH202" s="264">
        <v>0.03</v>
      </c>
      <c r="AI202" s="265">
        <v>0.05</v>
      </c>
      <c r="AJ202" s="258"/>
      <c r="AK202" s="271">
        <v>23.999999999999989</v>
      </c>
      <c r="AL202" s="272">
        <v>24.719999999999992</v>
      </c>
      <c r="AM202" s="273">
        <v>25.955999999999992</v>
      </c>
      <c r="AN202" s="264">
        <v>0.03</v>
      </c>
      <c r="AO202" s="265">
        <v>0.05</v>
      </c>
      <c r="AQ202" s="271">
        <v>20</v>
      </c>
      <c r="AR202" s="272">
        <v>19.515789473684212</v>
      </c>
      <c r="AS202" s="273">
        <v>20.491578947368424</v>
      </c>
      <c r="AT202" s="264">
        <v>-2.421052631578946E-2</v>
      </c>
      <c r="AU202" s="265">
        <v>5.0000000000000044E-2</v>
      </c>
      <c r="AW202" s="274">
        <v>3421.0526315789557</v>
      </c>
      <c r="AX202" s="263">
        <v>7583.3333333333385</v>
      </c>
      <c r="AY202" s="275">
        <v>7810.8333333333385</v>
      </c>
      <c r="BA202" s="274">
        <v>41052.631578947359</v>
      </c>
      <c r="BB202" s="263">
        <v>44172.916666666672</v>
      </c>
      <c r="BC202" s="275">
        <v>46031.193541666667</v>
      </c>
      <c r="BE202" s="274">
        <v>23947.368421052633</v>
      </c>
      <c r="BF202" s="263">
        <v>24077.083333333325</v>
      </c>
      <c r="BG202" s="275">
        <v>24266.306458333329</v>
      </c>
      <c r="BI202" s="274">
        <v>68421.052631578961</v>
      </c>
      <c r="BJ202" s="263">
        <v>75833.333333333343</v>
      </c>
      <c r="BK202" s="275">
        <v>78108.333333333343</v>
      </c>
      <c r="BM202" s="263">
        <v>3250</v>
      </c>
      <c r="BN202" s="263">
        <v>3497.1682847896436</v>
      </c>
      <c r="BO202" s="263">
        <v>3430.5555555555547</v>
      </c>
      <c r="BP202" s="264">
        <v>7.6051779935274899E-2</v>
      </c>
      <c r="BQ202" s="265">
        <v>-1.9047619047619202E-2</v>
      </c>
      <c r="BR202" s="370">
        <v>0.71664829106945971</v>
      </c>
      <c r="BS202" s="371">
        <v>0.72548845893027869</v>
      </c>
      <c r="BT202" s="372">
        <v>0.72055602749860026</v>
      </c>
      <c r="BV202" s="274">
        <v>260</v>
      </c>
      <c r="BW202" s="263">
        <v>260</v>
      </c>
      <c r="BX202" s="266">
        <v>0</v>
      </c>
      <c r="BY202" s="263">
        <v>260</v>
      </c>
      <c r="BZ202" s="263">
        <v>77450.253901194737</v>
      </c>
      <c r="CA202" s="266">
        <v>296.88559192767207</v>
      </c>
      <c r="CB202" s="263">
        <v>325</v>
      </c>
      <c r="CC202" s="263">
        <v>1470.2380952380954</v>
      </c>
      <c r="CD202" s="265">
        <v>3.5238095238095246</v>
      </c>
      <c r="CF202" s="274">
        <v>80687.422185984382</v>
      </c>
      <c r="CG202" s="263">
        <v>2988796.596805837</v>
      </c>
      <c r="CH202" s="269">
        <v>4.3202960518675539E-2</v>
      </c>
      <c r="CI202" s="263">
        <v>4575.7936507936511</v>
      </c>
      <c r="CJ202" s="263">
        <v>1708270.9387731475</v>
      </c>
      <c r="CK202" s="270">
        <v>0.69999999999999984</v>
      </c>
      <c r="CM202" s="316">
        <v>12.5</v>
      </c>
      <c r="CN202" s="304">
        <v>9.000532385947789E-2</v>
      </c>
      <c r="CO202" s="317">
        <v>3.8218390804597688</v>
      </c>
      <c r="CQ202" s="2"/>
    </row>
    <row r="203" spans="2:95" x14ac:dyDescent="0.25">
      <c r="N203" s="357"/>
      <c r="O203" s="357"/>
      <c r="Q203" s="357"/>
      <c r="R203" s="357"/>
      <c r="S203" s="357"/>
      <c r="W203" s="387"/>
      <c r="X203" s="387"/>
      <c r="Y203" s="387"/>
      <c r="AA203" s="357"/>
      <c r="AB203" s="357"/>
      <c r="AC203" s="357"/>
      <c r="BR203" s="357"/>
      <c r="BS203" s="357"/>
      <c r="BT203" s="357"/>
      <c r="CH203" s="312"/>
      <c r="CM203" s="302"/>
      <c r="CN203" s="302"/>
      <c r="CO203" s="303"/>
    </row>
    <row r="204" spans="2:95" s="19" customFormat="1" ht="18" customHeight="1" x14ac:dyDescent="0.25">
      <c r="B204" s="544" t="s">
        <v>2</v>
      </c>
      <c r="C204" s="544"/>
      <c r="D204" s="544"/>
      <c r="E204" s="544"/>
      <c r="F204" s="205">
        <v>147900</v>
      </c>
      <c r="G204" s="206">
        <v>154775</v>
      </c>
      <c r="H204" s="207">
        <v>160793.29999999999</v>
      </c>
      <c r="I204" s="207">
        <v>0</v>
      </c>
      <c r="J204" s="209">
        <v>0</v>
      </c>
      <c r="K204" s="255">
        <v>4.6484110885733676E-2</v>
      </c>
      <c r="L204" s="210">
        <v>3.8884186722661918E-2</v>
      </c>
      <c r="M204" s="423">
        <v>1</v>
      </c>
      <c r="N204" s="426">
        <v>1</v>
      </c>
      <c r="O204" s="427">
        <v>1</v>
      </c>
      <c r="Q204" s="362">
        <v>0.64351662183218172</v>
      </c>
      <c r="R204" s="363">
        <v>0.70442340413964111</v>
      </c>
      <c r="S204" s="364">
        <v>0.71062394790542682</v>
      </c>
      <c r="T204" s="255">
        <v>9.4646789595036918E-2</v>
      </c>
      <c r="U204" s="210">
        <v>8.8022966433929373E-3</v>
      </c>
      <c r="V204" s="256"/>
      <c r="W204" s="255">
        <v>4.5651467721930385E-2</v>
      </c>
      <c r="X204" s="373">
        <v>8.8847328323114427E-2</v>
      </c>
      <c r="Y204" s="210">
        <v>9.0143454383307564E-2</v>
      </c>
      <c r="AA204" s="255">
        <v>0.59786515411025132</v>
      </c>
      <c r="AB204" s="373">
        <v>0.61557607581652674</v>
      </c>
      <c r="AC204" s="210">
        <v>0.62048049352211931</v>
      </c>
      <c r="AD204" s="258"/>
      <c r="AE204" s="211">
        <v>32.064668567337556</v>
      </c>
      <c r="AF204" s="212">
        <v>33.026608624357685</v>
      </c>
      <c r="AG204" s="213">
        <v>34.677939055575571</v>
      </c>
      <c r="AH204" s="208">
        <v>0.03</v>
      </c>
      <c r="AI204" s="209">
        <v>0.05</v>
      </c>
      <c r="AJ204" s="258"/>
      <c r="AK204" s="211">
        <v>38.477602280805066</v>
      </c>
      <c r="AL204" s="212">
        <v>39.631930349229222</v>
      </c>
      <c r="AM204" s="213">
        <v>41.613526866690684</v>
      </c>
      <c r="AN204" s="208">
        <v>0.03</v>
      </c>
      <c r="AO204" s="209">
        <v>0.05</v>
      </c>
      <c r="AQ204" s="211">
        <v>32.613009922822492</v>
      </c>
      <c r="AR204" s="212">
        <v>32.108113504091222</v>
      </c>
      <c r="AS204" s="213">
        <v>33.773124970607817</v>
      </c>
      <c r="AT204" s="208">
        <v>-1.5481441913092087E-2</v>
      </c>
      <c r="AU204" s="209">
        <v>5.1856409013392835E-2</v>
      </c>
      <c r="AW204" s="205">
        <v>8074.8283752860561</v>
      </c>
      <c r="AX204" s="206">
        <v>16142.251461988308</v>
      </c>
      <c r="AY204" s="207">
        <v>17011.993189854744</v>
      </c>
      <c r="BA204" s="205">
        <v>88424.256292906168</v>
      </c>
      <c r="BB204" s="206">
        <v>95275.787134502927</v>
      </c>
      <c r="BC204" s="207">
        <v>99769.106139050185</v>
      </c>
      <c r="BE204" s="205">
        <v>58475.743707093825</v>
      </c>
      <c r="BF204" s="206">
        <v>58449.212865497058</v>
      </c>
      <c r="BG204" s="207">
        <v>59942.693860949832</v>
      </c>
      <c r="BI204" s="259">
        <v>154974.82837528607</v>
      </c>
      <c r="BJ204" s="260">
        <v>169867.25146198831</v>
      </c>
      <c r="BK204" s="261">
        <v>176723.79318985474</v>
      </c>
      <c r="BM204" s="205">
        <v>4535</v>
      </c>
      <c r="BN204" s="206">
        <v>4820.4326915774282</v>
      </c>
      <c r="BO204" s="207">
        <v>4760.9837745229588</v>
      </c>
      <c r="BP204" s="208">
        <v>6.2939954041329349E-2</v>
      </c>
      <c r="BQ204" s="209">
        <v>-1.2332693112454884E-2</v>
      </c>
      <c r="BR204" s="423">
        <v>1</v>
      </c>
      <c r="BS204" s="426">
        <v>1</v>
      </c>
      <c r="BT204" s="427">
        <v>1</v>
      </c>
      <c r="BV204" s="261">
        <v>4581.5</v>
      </c>
      <c r="BW204" s="261">
        <v>3087.4</v>
      </c>
      <c r="BX204" s="257">
        <v>-0.32611590090581688</v>
      </c>
      <c r="BY204" s="261">
        <v>3572</v>
      </c>
      <c r="BZ204" s="261">
        <v>256108.91795717622</v>
      </c>
      <c r="CA204" s="257">
        <v>70.699025183979899</v>
      </c>
      <c r="CB204" s="261">
        <v>714</v>
      </c>
      <c r="CC204" s="261">
        <v>2033.3632184461812</v>
      </c>
      <c r="CD204" s="257">
        <v>1.8478476448826067</v>
      </c>
      <c r="CF204" s="261">
        <v>257357.35064875364</v>
      </c>
      <c r="CG204" s="261">
        <v>6479463.5963446107</v>
      </c>
      <c r="CH204" s="313">
        <v>1.8474091471857398E-2</v>
      </c>
      <c r="CI204" s="261">
        <v>6080.346992969141</v>
      </c>
      <c r="CJ204" s="261">
        <v>4637744.1738858055</v>
      </c>
      <c r="CK204" s="315">
        <v>0.70072720446124892</v>
      </c>
      <c r="CM204" s="305">
        <v>1.1826989529137164</v>
      </c>
      <c r="CN204" s="306">
        <v>3.7125813706283664E-2</v>
      </c>
      <c r="CO204" s="307">
        <v>3.4658568205012337</v>
      </c>
      <c r="CQ204" s="2"/>
    </row>
  </sheetData>
  <autoFilter ref="B7:CO204" xr:uid="{00000000-0001-0000-0100-000000000000}"/>
  <mergeCells count="66">
    <mergeCell ref="B3:E3"/>
    <mergeCell ref="CI6:CK6"/>
    <mergeCell ref="CF6:CH6"/>
    <mergeCell ref="BV6:CD6"/>
    <mergeCell ref="B1:E1"/>
    <mergeCell ref="BM6:BQ6"/>
    <mergeCell ref="BR6:BT6"/>
    <mergeCell ref="F6:L6"/>
    <mergeCell ref="M6:O6"/>
    <mergeCell ref="BA6:BC6"/>
    <mergeCell ref="BE6:BG6"/>
    <mergeCell ref="BI6:BK6"/>
    <mergeCell ref="AE6:AI6"/>
    <mergeCell ref="AQ6:AU6"/>
    <mergeCell ref="Q6:U6"/>
    <mergeCell ref="AW6:AY6"/>
    <mergeCell ref="AK6:AO6"/>
    <mergeCell ref="B13:E13"/>
    <mergeCell ref="W6:Y6"/>
    <mergeCell ref="AA6:AC6"/>
    <mergeCell ref="B20:E20"/>
    <mergeCell ref="B21:E21"/>
    <mergeCell ref="B25:E25"/>
    <mergeCell ref="B30:E30"/>
    <mergeCell ref="B31:E31"/>
    <mergeCell ref="B36:E36"/>
    <mergeCell ref="B43:E43"/>
    <mergeCell ref="B104:E104"/>
    <mergeCell ref="B110:E110"/>
    <mergeCell ref="B44:E44"/>
    <mergeCell ref="B49:E49"/>
    <mergeCell ref="B56:E56"/>
    <mergeCell ref="B57:E57"/>
    <mergeCell ref="B58:E58"/>
    <mergeCell ref="B84:E84"/>
    <mergeCell ref="B85:E85"/>
    <mergeCell ref="B91:E91"/>
    <mergeCell ref="B97:E97"/>
    <mergeCell ref="B65:E65"/>
    <mergeCell ref="B71:E71"/>
    <mergeCell ref="B72:E72"/>
    <mergeCell ref="B199:E199"/>
    <mergeCell ref="B200:E200"/>
    <mergeCell ref="B202:E202"/>
    <mergeCell ref="B204:E204"/>
    <mergeCell ref="B169:E169"/>
    <mergeCell ref="B174:E174"/>
    <mergeCell ref="B179:E179"/>
    <mergeCell ref="B184:E184"/>
    <mergeCell ref="B189:E189"/>
    <mergeCell ref="CM6:CO6"/>
    <mergeCell ref="B194:E194"/>
    <mergeCell ref="B143:E143"/>
    <mergeCell ref="B147:E147"/>
    <mergeCell ref="B157:E157"/>
    <mergeCell ref="B158:E158"/>
    <mergeCell ref="B164:E164"/>
    <mergeCell ref="B116:E116"/>
    <mergeCell ref="B123:E123"/>
    <mergeCell ref="B131:E131"/>
    <mergeCell ref="B135:E135"/>
    <mergeCell ref="B139:E139"/>
    <mergeCell ref="B98:E98"/>
    <mergeCell ref="B111:E111"/>
    <mergeCell ref="B112:E112"/>
    <mergeCell ref="B78:E78"/>
  </mergeCells>
  <phoneticPr fontId="10" type="noConversion"/>
  <conditionalFormatting sqref="BZ8:BZ112 BZ114:BZ204">
    <cfRule type="cellIs" dxfId="0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Cat.Plan Template H1'27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 Piragnolo</dc:creator>
  <cp:keywords/>
  <dc:description/>
  <cp:lastModifiedBy>Ruben Villalon</cp:lastModifiedBy>
  <cp:revision>0</cp:revision>
  <dcterms:created xsi:type="dcterms:W3CDTF">2025-04-03T12:17:15Z</dcterms:created>
  <dcterms:modified xsi:type="dcterms:W3CDTF">2026-08-20T18:37:02Z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2025-04-04T15:04:17Z</vt:filetime>
  </property>
</Properties>
</file>